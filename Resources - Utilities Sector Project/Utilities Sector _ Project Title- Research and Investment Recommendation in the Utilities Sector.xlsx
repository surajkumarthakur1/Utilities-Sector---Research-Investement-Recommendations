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35ae5335b235b3bd/Financial Modelling/"/>
    </mc:Choice>
  </mc:AlternateContent>
  <xr:revisionPtr revIDLastSave="1054" documentId="8_{49AA075C-EE48-4899-B163-EF6CE781DC6A}" xr6:coauthVersionLast="47" xr6:coauthVersionMax="47" xr10:uidLastSave="{A261391A-FEEE-4434-8BD1-26EBE66DD112}"/>
  <bookViews>
    <workbookView xWindow="28680" yWindow="-4680" windowWidth="29040" windowHeight="15720" tabRatio="854" activeTab="6" xr2:uid="{00000000-000D-0000-FFFF-FFFF00000000}"/>
  </bookViews>
  <sheets>
    <sheet name="Utilities Sector – Overview" sheetId="12" r:id="rId1"/>
    <sheet name="Industry Overview" sheetId="8" r:id="rId2"/>
    <sheet name="Excluded Companies" sheetId="15" r:id="rId3"/>
    <sheet name="Raw Data" sheetId="1" r:id="rId4"/>
    <sheet name="Ratios" sheetId="2" r:id="rId5"/>
    <sheet name="Selecting on the basis of Ratio" sheetId="11" r:id="rId6"/>
    <sheet name="Sector details–Investor Summary" sheetId="13" r:id="rId7"/>
  </sheets>
  <definedNames>
    <definedName name="_xlnm._FilterDatabase" localSheetId="1" hidden="1">'Industry Overview'!$B$4:$N$4</definedName>
    <definedName name="_xlnm._FilterDatabase" localSheetId="3" hidden="1">'Raw Data'!$A$6:$P$65</definedName>
    <definedName name="_xlnm._FilterDatabase" localSheetId="5" hidden="1">'Selecting on the basis of Ratio'!$A$5:$R$64</definedName>
    <definedName name="_xlnm._FilterDatabase" localSheetId="0" hidden="1">'Utilities Sector – Overview'!$B$10:$J$69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 i="11" l="1"/>
  <c r="K18" i="11"/>
  <c r="J18" i="11"/>
  <c r="I18" i="11"/>
  <c r="H18" i="11"/>
  <c r="G18" i="11"/>
  <c r="F18" i="11"/>
  <c r="E18" i="11"/>
  <c r="C18" i="11"/>
  <c r="A18" i="11"/>
  <c r="B18" i="11" s="1"/>
  <c r="K24" i="11"/>
  <c r="J24" i="11"/>
  <c r="I24" i="11"/>
  <c r="H24" i="11"/>
  <c r="G24" i="11"/>
  <c r="F24" i="11"/>
  <c r="E24" i="11"/>
  <c r="C24" i="11"/>
  <c r="A24" i="11"/>
  <c r="B24" i="11" s="1"/>
  <c r="K23" i="11"/>
  <c r="J23" i="11"/>
  <c r="I23" i="11"/>
  <c r="H23" i="11"/>
  <c r="G23" i="11"/>
  <c r="F23" i="11"/>
  <c r="E23" i="11"/>
  <c r="C23" i="11"/>
  <c r="A23" i="11"/>
  <c r="B23" i="11" s="1"/>
  <c r="K26" i="11"/>
  <c r="J26" i="11"/>
  <c r="I26" i="11"/>
  <c r="H26" i="11"/>
  <c r="G26" i="11"/>
  <c r="F26" i="11"/>
  <c r="E26" i="11"/>
  <c r="C26" i="11"/>
  <c r="A26" i="11"/>
  <c r="B26" i="11" s="1"/>
  <c r="K11" i="11"/>
  <c r="J11" i="11"/>
  <c r="I11" i="11"/>
  <c r="H11" i="11"/>
  <c r="G11" i="11"/>
  <c r="F11" i="11"/>
  <c r="E11" i="11"/>
  <c r="C11" i="11"/>
  <c r="A11" i="11"/>
  <c r="B11" i="11" s="1"/>
  <c r="K32" i="11"/>
  <c r="J32" i="11"/>
  <c r="I32" i="11"/>
  <c r="H32" i="11"/>
  <c r="G32" i="11"/>
  <c r="F32" i="11"/>
  <c r="E32" i="11"/>
  <c r="C32" i="11"/>
  <c r="A32" i="11"/>
  <c r="B32" i="11" s="1"/>
  <c r="K20" i="11"/>
  <c r="J20" i="11"/>
  <c r="I20" i="11"/>
  <c r="H20" i="11"/>
  <c r="G20" i="11"/>
  <c r="F20" i="11"/>
  <c r="E20" i="11"/>
  <c r="C20" i="11"/>
  <c r="A20" i="11"/>
  <c r="B20" i="11" s="1"/>
  <c r="K40" i="11"/>
  <c r="J40" i="11"/>
  <c r="I40" i="11"/>
  <c r="H40" i="11"/>
  <c r="G40" i="11"/>
  <c r="F40" i="11"/>
  <c r="E40" i="11"/>
  <c r="C40" i="11"/>
  <c r="A40" i="11"/>
  <c r="B40" i="11" s="1"/>
  <c r="K16" i="11"/>
  <c r="J16" i="11"/>
  <c r="I16" i="11"/>
  <c r="H16" i="11"/>
  <c r="G16" i="11"/>
  <c r="F16" i="11"/>
  <c r="E16" i="11"/>
  <c r="C16" i="11"/>
  <c r="A16" i="11"/>
  <c r="B16" i="11" s="1"/>
  <c r="K48" i="11"/>
  <c r="J48" i="11"/>
  <c r="I48" i="11"/>
  <c r="H48" i="11"/>
  <c r="G48" i="11"/>
  <c r="F48" i="11"/>
  <c r="E48" i="11"/>
  <c r="C48" i="11"/>
  <c r="A48" i="11"/>
  <c r="B48" i="11" s="1"/>
  <c r="K10" i="11"/>
  <c r="J10" i="11"/>
  <c r="I10" i="11"/>
  <c r="H10" i="11"/>
  <c r="G10" i="11"/>
  <c r="F10" i="11"/>
  <c r="E10" i="11"/>
  <c r="C10" i="11"/>
  <c r="A10" i="11"/>
  <c r="B10" i="11" s="1"/>
  <c r="K15" i="11"/>
  <c r="J15" i="11"/>
  <c r="I15" i="11"/>
  <c r="H15" i="11"/>
  <c r="G15" i="11"/>
  <c r="F15" i="11"/>
  <c r="E15" i="11"/>
  <c r="C15" i="11"/>
  <c r="A15" i="11"/>
  <c r="B15" i="11" s="1"/>
  <c r="K61" i="11"/>
  <c r="J61" i="11"/>
  <c r="I61" i="11"/>
  <c r="H61" i="11"/>
  <c r="G61" i="11"/>
  <c r="F61" i="11"/>
  <c r="E61" i="11"/>
  <c r="C61" i="11"/>
  <c r="A61" i="11"/>
  <c r="B61" i="11" s="1"/>
  <c r="K49" i="11"/>
  <c r="J49" i="11"/>
  <c r="I49" i="11"/>
  <c r="H49" i="11"/>
  <c r="G49" i="11"/>
  <c r="F49" i="11"/>
  <c r="E49" i="11"/>
  <c r="C49" i="11"/>
  <c r="A49" i="11"/>
  <c r="B49" i="11" s="1"/>
  <c r="K9" i="11"/>
  <c r="J9" i="11"/>
  <c r="I9" i="11"/>
  <c r="H9" i="11"/>
  <c r="G9" i="11"/>
  <c r="F9" i="11"/>
  <c r="E9" i="11"/>
  <c r="C9" i="11"/>
  <c r="A9" i="11"/>
  <c r="B9" i="11" s="1"/>
  <c r="K12" i="11"/>
  <c r="J12" i="11"/>
  <c r="I12" i="11"/>
  <c r="H12" i="11"/>
  <c r="G12" i="11"/>
  <c r="F12" i="11"/>
  <c r="E12" i="11"/>
  <c r="C12" i="11"/>
  <c r="A12" i="11"/>
  <c r="B12" i="11" s="1"/>
  <c r="K59" i="11"/>
  <c r="J59" i="11"/>
  <c r="I59" i="11"/>
  <c r="H59" i="11"/>
  <c r="G59" i="11"/>
  <c r="F59" i="11"/>
  <c r="E59" i="11"/>
  <c r="C59" i="11"/>
  <c r="A59" i="11"/>
  <c r="B59" i="11" s="1"/>
  <c r="K62" i="11"/>
  <c r="J62" i="11"/>
  <c r="I62" i="11"/>
  <c r="H62" i="11"/>
  <c r="G62" i="11"/>
  <c r="F62" i="11"/>
  <c r="E62" i="11"/>
  <c r="C62" i="11"/>
  <c r="A62" i="11"/>
  <c r="B62" i="11" s="1"/>
  <c r="K7" i="11"/>
  <c r="J7" i="11"/>
  <c r="I7" i="11"/>
  <c r="H7" i="11"/>
  <c r="G7" i="11"/>
  <c r="F7" i="11"/>
  <c r="E7" i="11"/>
  <c r="C7" i="11"/>
  <c r="A7" i="11"/>
  <c r="B7" i="11" s="1"/>
  <c r="K52" i="11"/>
  <c r="J52" i="11"/>
  <c r="I52" i="11"/>
  <c r="H52" i="11"/>
  <c r="G52" i="11"/>
  <c r="F52" i="11"/>
  <c r="E52" i="11"/>
  <c r="C52" i="11"/>
  <c r="A52" i="11"/>
  <c r="B52" i="11" s="1"/>
  <c r="K17" i="11"/>
  <c r="J17" i="11"/>
  <c r="I17" i="11"/>
  <c r="H17" i="11"/>
  <c r="G17" i="11"/>
  <c r="F17" i="11"/>
  <c r="E17" i="11"/>
  <c r="C17" i="11"/>
  <c r="A17" i="11"/>
  <c r="B17" i="11" s="1"/>
  <c r="K53" i="11"/>
  <c r="J53" i="11"/>
  <c r="I53" i="11"/>
  <c r="H53" i="11"/>
  <c r="G53" i="11"/>
  <c r="F53" i="11"/>
  <c r="E53" i="11"/>
  <c r="C53" i="11"/>
  <c r="A53" i="11"/>
  <c r="B53" i="11" s="1"/>
  <c r="K54" i="11"/>
  <c r="J54" i="11"/>
  <c r="I54" i="11"/>
  <c r="H54" i="11"/>
  <c r="G54" i="11"/>
  <c r="F54" i="11"/>
  <c r="E54" i="11"/>
  <c r="C54" i="11"/>
  <c r="A54" i="11"/>
  <c r="B54" i="11" s="1"/>
  <c r="K14" i="11"/>
  <c r="J14" i="11"/>
  <c r="I14" i="11"/>
  <c r="H14" i="11"/>
  <c r="G14" i="11"/>
  <c r="F14" i="11"/>
  <c r="E14" i="11"/>
  <c r="C14" i="11"/>
  <c r="A14" i="11"/>
  <c r="B14" i="11" s="1"/>
  <c r="K6" i="11"/>
  <c r="J6" i="11"/>
  <c r="I6" i="11"/>
  <c r="H6" i="11"/>
  <c r="G6" i="11"/>
  <c r="F6" i="11"/>
  <c r="E6" i="11"/>
  <c r="C6" i="11"/>
  <c r="A6" i="11"/>
  <c r="B6" i="11" s="1"/>
  <c r="K42" i="11"/>
  <c r="J42" i="11"/>
  <c r="I42" i="11"/>
  <c r="H42" i="11"/>
  <c r="G42" i="11"/>
  <c r="F42" i="11"/>
  <c r="E42" i="11"/>
  <c r="C42" i="11"/>
  <c r="A42" i="11"/>
  <c r="B42" i="11" s="1"/>
  <c r="K64" i="11"/>
  <c r="J64" i="11"/>
  <c r="I64" i="11"/>
  <c r="H64" i="11"/>
  <c r="G64" i="11"/>
  <c r="F64" i="11"/>
  <c r="E64" i="11"/>
  <c r="C64" i="11"/>
  <c r="A64" i="11"/>
  <c r="B64" i="11" s="1"/>
  <c r="K41" i="11"/>
  <c r="J41" i="11"/>
  <c r="I41" i="11"/>
  <c r="H41" i="11"/>
  <c r="G41" i="11"/>
  <c r="F41" i="11"/>
  <c r="E41" i="11"/>
  <c r="C41" i="11"/>
  <c r="A41" i="11"/>
  <c r="B41" i="11" s="1"/>
  <c r="K25" i="11"/>
  <c r="J25" i="11"/>
  <c r="I25" i="11"/>
  <c r="H25" i="11"/>
  <c r="G25" i="11"/>
  <c r="F25" i="11"/>
  <c r="E25" i="11"/>
  <c r="C25" i="11"/>
  <c r="A25" i="11"/>
  <c r="B25" i="11" s="1"/>
  <c r="K27" i="11"/>
  <c r="J27" i="11"/>
  <c r="I27" i="11"/>
  <c r="H27" i="11"/>
  <c r="G27" i="11"/>
  <c r="F27" i="11"/>
  <c r="E27" i="11"/>
  <c r="C27" i="11"/>
  <c r="A27" i="11"/>
  <c r="B27" i="11" s="1"/>
  <c r="K28" i="11"/>
  <c r="J28" i="11"/>
  <c r="I28" i="11"/>
  <c r="H28" i="11"/>
  <c r="G28" i="11"/>
  <c r="F28" i="11"/>
  <c r="E28" i="11"/>
  <c r="C28" i="11"/>
  <c r="A28" i="11"/>
  <c r="B28" i="11" s="1"/>
  <c r="K8" i="11"/>
  <c r="J8" i="11"/>
  <c r="I8" i="11"/>
  <c r="H8" i="11"/>
  <c r="G8" i="11"/>
  <c r="F8" i="11"/>
  <c r="E8" i="11"/>
  <c r="C8" i="11"/>
  <c r="A8" i="11"/>
  <c r="B8" i="11" s="1"/>
  <c r="K21" i="11"/>
  <c r="J21" i="11"/>
  <c r="I21" i="11"/>
  <c r="H21" i="11"/>
  <c r="G21" i="11"/>
  <c r="F21" i="11"/>
  <c r="E21" i="11"/>
  <c r="C21" i="11"/>
  <c r="A21" i="11"/>
  <c r="B21" i="11" s="1"/>
  <c r="K50" i="11"/>
  <c r="J50" i="11"/>
  <c r="I50" i="11"/>
  <c r="H50" i="11"/>
  <c r="G50" i="11"/>
  <c r="F50" i="11"/>
  <c r="E50" i="11"/>
  <c r="C50" i="11"/>
  <c r="A50" i="11"/>
  <c r="B50" i="11" s="1"/>
  <c r="K30" i="11"/>
  <c r="J30" i="11"/>
  <c r="I30" i="11"/>
  <c r="H30" i="11"/>
  <c r="G30" i="11"/>
  <c r="F30" i="11"/>
  <c r="E30" i="11"/>
  <c r="C30" i="11"/>
  <c r="A30" i="11"/>
  <c r="B30" i="11" s="1"/>
  <c r="K13" i="11"/>
  <c r="J13" i="11"/>
  <c r="I13" i="11"/>
  <c r="H13" i="11"/>
  <c r="G13" i="11"/>
  <c r="F13" i="11"/>
  <c r="E13" i="11"/>
  <c r="C13" i="11"/>
  <c r="A13" i="11"/>
  <c r="B13" i="11" s="1"/>
  <c r="K57" i="11"/>
  <c r="J57" i="11"/>
  <c r="I57" i="11"/>
  <c r="H57" i="11"/>
  <c r="G57" i="11"/>
  <c r="F57" i="11"/>
  <c r="E57" i="11"/>
  <c r="C57" i="11"/>
  <c r="A57" i="11"/>
  <c r="B57" i="11" s="1"/>
  <c r="K19" i="11"/>
  <c r="J19" i="11"/>
  <c r="I19" i="11"/>
  <c r="H19" i="11"/>
  <c r="G19" i="11"/>
  <c r="F19" i="11"/>
  <c r="E19" i="11"/>
  <c r="C19" i="11"/>
  <c r="A19" i="11"/>
  <c r="B19" i="11" s="1"/>
  <c r="K56" i="11"/>
  <c r="J56" i="11"/>
  <c r="I56" i="11"/>
  <c r="H56" i="11"/>
  <c r="G56" i="11"/>
  <c r="F56" i="11"/>
  <c r="E56" i="11"/>
  <c r="C56" i="11"/>
  <c r="A56" i="11"/>
  <c r="B56" i="11" s="1"/>
  <c r="K36" i="11"/>
  <c r="J36" i="11"/>
  <c r="I36" i="11"/>
  <c r="H36" i="11"/>
  <c r="G36" i="11"/>
  <c r="F36" i="11"/>
  <c r="E36" i="11"/>
  <c r="C36" i="11"/>
  <c r="A36" i="11"/>
  <c r="B36" i="11" s="1"/>
  <c r="K35" i="11"/>
  <c r="J35" i="11"/>
  <c r="I35" i="11"/>
  <c r="H35" i="11"/>
  <c r="G35" i="11"/>
  <c r="F35" i="11"/>
  <c r="E35" i="11"/>
  <c r="C35" i="11"/>
  <c r="A35" i="11"/>
  <c r="B35" i="11" s="1"/>
  <c r="K22" i="11"/>
  <c r="J22" i="11"/>
  <c r="I22" i="11"/>
  <c r="H22" i="11"/>
  <c r="G22" i="11"/>
  <c r="F22" i="11"/>
  <c r="E22" i="11"/>
  <c r="C22" i="11"/>
  <c r="A22" i="11"/>
  <c r="B22" i="11" s="1"/>
  <c r="K44" i="11"/>
  <c r="J44" i="11"/>
  <c r="I44" i="11"/>
  <c r="H44" i="11"/>
  <c r="G44" i="11"/>
  <c r="F44" i="11"/>
  <c r="E44" i="11"/>
  <c r="C44" i="11"/>
  <c r="A44" i="11"/>
  <c r="B44" i="11" s="1"/>
  <c r="K37" i="11"/>
  <c r="J37" i="11"/>
  <c r="I37" i="11"/>
  <c r="H37" i="11"/>
  <c r="G37" i="11"/>
  <c r="F37" i="11"/>
  <c r="E37" i="11"/>
  <c r="C37" i="11"/>
  <c r="A37" i="11"/>
  <c r="B37" i="11" s="1"/>
  <c r="K34" i="11"/>
  <c r="J34" i="11"/>
  <c r="I34" i="11"/>
  <c r="H34" i="11"/>
  <c r="G34" i="11"/>
  <c r="F34" i="11"/>
  <c r="E34" i="11"/>
  <c r="C34" i="11"/>
  <c r="A34" i="11"/>
  <c r="B34" i="11" s="1"/>
  <c r="K51" i="11"/>
  <c r="J51" i="11"/>
  <c r="I51" i="11"/>
  <c r="H51" i="11"/>
  <c r="G51" i="11"/>
  <c r="F51" i="11"/>
  <c r="E51" i="11"/>
  <c r="C51" i="11"/>
  <c r="A51" i="11"/>
  <c r="B51" i="11" s="1"/>
  <c r="K60" i="11"/>
  <c r="J60" i="11"/>
  <c r="I60" i="11"/>
  <c r="H60" i="11"/>
  <c r="G60" i="11"/>
  <c r="F60" i="11"/>
  <c r="E60" i="11"/>
  <c r="C60" i="11"/>
  <c r="A60" i="11"/>
  <c r="B60" i="11" s="1"/>
  <c r="L58" i="11"/>
  <c r="K58" i="11"/>
  <c r="J58" i="11"/>
  <c r="I58" i="11"/>
  <c r="H58" i="11"/>
  <c r="G58" i="11"/>
  <c r="F58" i="11"/>
  <c r="E58" i="11"/>
  <c r="C58" i="11"/>
  <c r="A58" i="11"/>
  <c r="B58" i="11" s="1"/>
  <c r="K39" i="11"/>
  <c r="J39" i="11"/>
  <c r="I39" i="11"/>
  <c r="H39" i="11"/>
  <c r="G39" i="11"/>
  <c r="F39" i="11"/>
  <c r="E39" i="11"/>
  <c r="C39" i="11"/>
  <c r="A39" i="11"/>
  <c r="B39" i="11" s="1"/>
  <c r="K46" i="11"/>
  <c r="J46" i="11"/>
  <c r="I46" i="11"/>
  <c r="H46" i="11"/>
  <c r="G46" i="11"/>
  <c r="F46" i="11"/>
  <c r="E46" i="11"/>
  <c r="C46" i="11"/>
  <c r="A46" i="11"/>
  <c r="B46" i="11" s="1"/>
  <c r="K33" i="11"/>
  <c r="J33" i="11"/>
  <c r="I33" i="11"/>
  <c r="H33" i="11"/>
  <c r="G33" i="11"/>
  <c r="F33" i="11"/>
  <c r="E33" i="11"/>
  <c r="C33" i="11"/>
  <c r="A33" i="11"/>
  <c r="B33" i="11" s="1"/>
  <c r="K31" i="11"/>
  <c r="J31" i="11"/>
  <c r="I31" i="11"/>
  <c r="H31" i="11"/>
  <c r="G31" i="11"/>
  <c r="F31" i="11"/>
  <c r="E31" i="11"/>
  <c r="C31" i="11"/>
  <c r="A31" i="11"/>
  <c r="B31" i="11" s="1"/>
  <c r="K47" i="11"/>
  <c r="J47" i="11"/>
  <c r="I47" i="11"/>
  <c r="H47" i="11"/>
  <c r="G47" i="11"/>
  <c r="F47" i="11"/>
  <c r="E47" i="11"/>
  <c r="C47" i="11"/>
  <c r="A47" i="11"/>
  <c r="B47" i="11" s="1"/>
  <c r="K29" i="11"/>
  <c r="J29" i="11"/>
  <c r="I29" i="11"/>
  <c r="H29" i="11"/>
  <c r="G29" i="11"/>
  <c r="F29" i="11"/>
  <c r="E29" i="11"/>
  <c r="C29" i="11"/>
  <c r="A29" i="11"/>
  <c r="B29" i="11" s="1"/>
  <c r="K63" i="11"/>
  <c r="J63" i="11"/>
  <c r="I63" i="11"/>
  <c r="H63" i="11"/>
  <c r="G63" i="11"/>
  <c r="F63" i="11"/>
  <c r="E63" i="11"/>
  <c r="A63" i="11"/>
  <c r="B63" i="11" s="1"/>
  <c r="K45" i="11"/>
  <c r="J45" i="11"/>
  <c r="I45" i="11"/>
  <c r="H45" i="11"/>
  <c r="G45" i="11"/>
  <c r="F45" i="11"/>
  <c r="E45" i="11"/>
  <c r="C45" i="11"/>
  <c r="A45" i="11"/>
  <c r="B45" i="11" s="1"/>
  <c r="K55" i="11"/>
  <c r="J55" i="11"/>
  <c r="I55" i="11"/>
  <c r="H55" i="11"/>
  <c r="G55" i="11"/>
  <c r="F55" i="11"/>
  <c r="E55" i="11"/>
  <c r="C55" i="11"/>
  <c r="A55" i="11"/>
  <c r="B55" i="11" s="1"/>
  <c r="K38" i="11"/>
  <c r="J38" i="11"/>
  <c r="I38" i="11"/>
  <c r="H38" i="11"/>
  <c r="G38" i="11"/>
  <c r="F38" i="11"/>
  <c r="E38" i="11"/>
  <c r="C38" i="11"/>
  <c r="A38" i="11"/>
  <c r="B38" i="11" s="1"/>
  <c r="K43" i="11"/>
  <c r="J43" i="11"/>
  <c r="I43" i="11"/>
  <c r="H43" i="11"/>
  <c r="G43" i="11"/>
  <c r="F43" i="11"/>
  <c r="E43" i="11"/>
  <c r="C43" i="11"/>
  <c r="A43" i="11"/>
  <c r="B43" i="11" s="1"/>
  <c r="B9"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9" i="2"/>
  <c r="C24"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A64" i="2"/>
  <c r="A9" i="2"/>
  <c r="J5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9" i="2"/>
  <c r="J60" i="2"/>
  <c r="J61" i="2"/>
  <c r="J62" i="2"/>
  <c r="J63" i="2"/>
  <c r="J64" i="2"/>
  <c r="J65" i="2"/>
  <c r="J66" i="2"/>
  <c r="J67" i="2"/>
  <c r="J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5" i="2"/>
  <c r="A66" i="2"/>
  <c r="A67" i="2"/>
  <c r="A10" i="2"/>
  <c r="A11" i="2"/>
  <c r="A12" i="2"/>
  <c r="A13" i="2"/>
  <c r="A14" i="2"/>
  <c r="A15" i="2"/>
  <c r="A16" i="2"/>
  <c r="A17" i="2"/>
  <c r="A18" i="2"/>
  <c r="A19" i="2"/>
  <c r="A20" i="2"/>
  <c r="A21" i="2"/>
  <c r="A22" i="2"/>
  <c r="A23" i="2"/>
  <c r="A24" i="2"/>
  <c r="A25" i="2"/>
  <c r="A26" i="2"/>
  <c r="A27" i="2"/>
  <c r="A28" i="2"/>
  <c r="R20" i="1"/>
  <c r="L51" i="11" s="1"/>
  <c r="R21" i="1"/>
  <c r="K23" i="2" s="1"/>
  <c r="R22" i="1"/>
  <c r="K24" i="2" s="1"/>
  <c r="R23" i="1"/>
  <c r="K25" i="2" s="1"/>
  <c r="R24" i="1"/>
  <c r="L22" i="11" s="1"/>
  <c r="R25" i="1"/>
  <c r="L35" i="11" s="1"/>
  <c r="R26" i="1"/>
  <c r="L36" i="11" s="1"/>
  <c r="R27" i="1"/>
  <c r="L56" i="11" s="1"/>
  <c r="R28" i="1"/>
  <c r="L19" i="11" s="1"/>
  <c r="R29" i="1"/>
  <c r="K31" i="2" s="1"/>
  <c r="R30" i="1"/>
  <c r="L13" i="11" s="1"/>
  <c r="R31" i="1"/>
  <c r="K33" i="2" s="1"/>
  <c r="R32" i="1"/>
  <c r="K34" i="2" s="1"/>
  <c r="R33" i="1"/>
  <c r="K35" i="2" s="1"/>
  <c r="R34" i="1"/>
  <c r="K36" i="2" s="1"/>
  <c r="R35" i="1"/>
  <c r="L28" i="11" s="1"/>
  <c r="R36" i="1"/>
  <c r="K38" i="2" s="1"/>
  <c r="R37" i="1"/>
  <c r="K39" i="2" s="1"/>
  <c r="R38" i="1"/>
  <c r="K40" i="2" s="1"/>
  <c r="R39" i="1"/>
  <c r="K41" i="2" s="1"/>
  <c r="R40" i="1"/>
  <c r="L42" i="11" s="1"/>
  <c r="R41" i="1"/>
  <c r="L6" i="11" s="1"/>
  <c r="R42" i="1"/>
  <c r="K44" i="2" s="1"/>
  <c r="R43" i="1"/>
  <c r="L54" i="11" s="1"/>
  <c r="R44" i="1"/>
  <c r="L53" i="11" s="1"/>
  <c r="R45" i="1"/>
  <c r="K47" i="2" s="1"/>
  <c r="R46" i="1"/>
  <c r="L52" i="11" s="1"/>
  <c r="R47" i="1"/>
  <c r="K49" i="2" s="1"/>
  <c r="R48" i="1"/>
  <c r="L62" i="11" s="1"/>
  <c r="R49" i="1"/>
  <c r="K51" i="2" s="1"/>
  <c r="R50" i="1"/>
  <c r="K52" i="2" s="1"/>
  <c r="R51" i="1"/>
  <c r="L9" i="11" s="1"/>
  <c r="R52" i="1"/>
  <c r="L49" i="11" s="1"/>
  <c r="R53" i="1"/>
  <c r="K55" i="2" s="1"/>
  <c r="R54" i="1"/>
  <c r="K56" i="2" s="1"/>
  <c r="R55" i="1"/>
  <c r="K57" i="2" s="1"/>
  <c r="R56" i="1"/>
  <c r="L48" i="11" s="1"/>
  <c r="R57" i="1"/>
  <c r="L16" i="11" s="1"/>
  <c r="R58" i="1"/>
  <c r="L40" i="11" s="1"/>
  <c r="R59" i="1"/>
  <c r="L20" i="11" s="1"/>
  <c r="R60" i="1"/>
  <c r="L32" i="11" s="1"/>
  <c r="R61" i="1"/>
  <c r="K63" i="2" s="1"/>
  <c r="R62" i="1"/>
  <c r="L26" i="11" s="1"/>
  <c r="R63" i="1"/>
  <c r="L23" i="11" s="1"/>
  <c r="R64" i="1"/>
  <c r="K66" i="2" s="1"/>
  <c r="R65" i="1"/>
  <c r="L18" i="11" s="1"/>
  <c r="R19" i="1"/>
  <c r="L60" i="11" s="1"/>
  <c r="R18" i="1"/>
  <c r="K20" i="2" s="1"/>
  <c r="R17" i="1"/>
  <c r="L39" i="11" s="1"/>
  <c r="R9" i="1"/>
  <c r="L55" i="11" s="1"/>
  <c r="R10" i="1"/>
  <c r="L45" i="11" s="1"/>
  <c r="R11" i="1"/>
  <c r="L63" i="11" s="1"/>
  <c r="R12" i="1"/>
  <c r="L29" i="11" s="1"/>
  <c r="R13" i="1"/>
  <c r="K15" i="2" s="1"/>
  <c r="R14" i="1"/>
  <c r="L31" i="11" s="1"/>
  <c r="R15" i="1"/>
  <c r="L33" i="11" s="1"/>
  <c r="R16" i="1"/>
  <c r="L46" i="11" s="1"/>
  <c r="R8" i="1"/>
  <c r="L38" i="11" s="1"/>
  <c r="R7" i="1"/>
  <c r="K9" i="2" s="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7" i="1"/>
  <c r="L27" i="1"/>
  <c r="C29" i="2" s="1"/>
  <c r="L28" i="1"/>
  <c r="C30" i="2" s="1"/>
  <c r="L29" i="1"/>
  <c r="D57" i="11" s="1"/>
  <c r="L30" i="1"/>
  <c r="C32" i="2" s="1"/>
  <c r="L31" i="1"/>
  <c r="C33" i="2" s="1"/>
  <c r="L32" i="1"/>
  <c r="D50" i="11" s="1"/>
  <c r="L33" i="1"/>
  <c r="D21" i="11" s="1"/>
  <c r="L34" i="1"/>
  <c r="D8" i="11" s="1"/>
  <c r="L35" i="1"/>
  <c r="D28" i="11" s="1"/>
  <c r="L36" i="1"/>
  <c r="D27" i="11" s="1"/>
  <c r="L37" i="1"/>
  <c r="D25" i="11" s="1"/>
  <c r="L38" i="1"/>
  <c r="D41" i="11" s="1"/>
  <c r="L39" i="1"/>
  <c r="D64" i="11" s="1"/>
  <c r="L40" i="1"/>
  <c r="C42" i="2" s="1"/>
  <c r="L41" i="1"/>
  <c r="C43" i="2" s="1"/>
  <c r="L42" i="1"/>
  <c r="C44" i="2" s="1"/>
  <c r="L43" i="1"/>
  <c r="C45" i="2" s="1"/>
  <c r="L44" i="1"/>
  <c r="C46" i="2" s="1"/>
  <c r="L45" i="1"/>
  <c r="D17" i="11" s="1"/>
  <c r="L46" i="1"/>
  <c r="C48" i="2" s="1"/>
  <c r="L47" i="1"/>
  <c r="C49" i="2" s="1"/>
  <c r="L48" i="1"/>
  <c r="D62" i="11" s="1"/>
  <c r="L49" i="1"/>
  <c r="D59" i="11" s="1"/>
  <c r="L50" i="1"/>
  <c r="C52" i="2" s="1"/>
  <c r="L51" i="1"/>
  <c r="D9" i="11" s="1"/>
  <c r="L52" i="1"/>
  <c r="D49" i="11" s="1"/>
  <c r="L53" i="1"/>
  <c r="D61" i="11" s="1"/>
  <c r="L54" i="1"/>
  <c r="D15" i="11" s="1"/>
  <c r="L55" i="1"/>
  <c r="D10" i="11" s="1"/>
  <c r="L56" i="1"/>
  <c r="C58" i="2" s="1"/>
  <c r="L57" i="1"/>
  <c r="C59" i="2" s="1"/>
  <c r="L58" i="1"/>
  <c r="C60" i="2" s="1"/>
  <c r="L59" i="1"/>
  <c r="C61" i="2" s="1"/>
  <c r="L60" i="1"/>
  <c r="D32" i="11" s="1"/>
  <c r="L61" i="1"/>
  <c r="D11" i="11" s="1"/>
  <c r="L62" i="1"/>
  <c r="C64" i="2" s="1"/>
  <c r="L63" i="1"/>
  <c r="C65" i="2" s="1"/>
  <c r="L64" i="1"/>
  <c r="D24" i="11" s="1"/>
  <c r="L65" i="1"/>
  <c r="D18" i="11" s="1"/>
  <c r="L7" i="1"/>
  <c r="D43" i="11" s="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J10" i="2"/>
  <c r="J11" i="2"/>
  <c r="J12" i="2"/>
  <c r="J13" i="2"/>
  <c r="J14" i="2"/>
  <c r="J15" i="2"/>
  <c r="J16" i="2"/>
  <c r="J17" i="2"/>
  <c r="J18" i="2"/>
  <c r="J19" i="2"/>
  <c r="J20" i="2"/>
  <c r="J21" i="2"/>
  <c r="J22" i="2"/>
  <c r="J23" i="2"/>
  <c r="J24" i="2"/>
  <c r="J25" i="2"/>
  <c r="J26" i="2"/>
  <c r="J27" i="2"/>
  <c r="J9" i="2"/>
  <c r="L26" i="1"/>
  <c r="C28" i="2" s="1"/>
  <c r="G26" i="1"/>
  <c r="L25" i="1"/>
  <c r="C27" i="2" s="1"/>
  <c r="G25" i="1"/>
  <c r="L24" i="1"/>
  <c r="C26" i="2" s="1"/>
  <c r="G24" i="1"/>
  <c r="L23" i="1"/>
  <c r="D44" i="11" s="1"/>
  <c r="G23" i="1"/>
  <c r="L22" i="1"/>
  <c r="D37" i="11" s="1"/>
  <c r="G22" i="1"/>
  <c r="L21" i="1"/>
  <c r="D34" i="11" s="1"/>
  <c r="G21" i="1"/>
  <c r="L20" i="1"/>
  <c r="D51" i="11" s="1"/>
  <c r="G20" i="1"/>
  <c r="L19" i="1"/>
  <c r="D60" i="11" s="1"/>
  <c r="G19" i="1"/>
  <c r="L18" i="1"/>
  <c r="C20" i="2" s="1"/>
  <c r="G18" i="1"/>
  <c r="L17" i="1"/>
  <c r="D39" i="11" s="1"/>
  <c r="G17" i="1"/>
  <c r="L16" i="1"/>
  <c r="D46" i="11" s="1"/>
  <c r="G16" i="1"/>
  <c r="L15" i="1"/>
  <c r="C17" i="2" s="1"/>
  <c r="G15" i="1"/>
  <c r="L14" i="1"/>
  <c r="C16" i="2" s="1"/>
  <c r="G14" i="1"/>
  <c r="L13" i="1"/>
  <c r="D47" i="11" s="1"/>
  <c r="G13" i="1"/>
  <c r="L12" i="1"/>
  <c r="C14" i="2" s="1"/>
  <c r="G12" i="1"/>
  <c r="L11" i="1"/>
  <c r="C13" i="2" s="1"/>
  <c r="G11" i="1"/>
  <c r="L10" i="1"/>
  <c r="C12" i="2" s="1"/>
  <c r="G10" i="1"/>
  <c r="L9" i="1"/>
  <c r="C11" i="2" s="1"/>
  <c r="G9" i="1"/>
  <c r="L8" i="1"/>
  <c r="C10" i="2" s="1"/>
  <c r="G8" i="1"/>
  <c r="G7" i="1"/>
  <c r="L12" i="11" l="1"/>
  <c r="C41" i="2"/>
  <c r="K21" i="2"/>
  <c r="C15" i="2"/>
  <c r="L27" i="11"/>
  <c r="K37" i="2"/>
  <c r="K22" i="2"/>
  <c r="K19" i="2"/>
  <c r="L21" i="11"/>
  <c r="K43" i="2"/>
  <c r="C56" i="2"/>
  <c r="D14" i="11"/>
  <c r="C40" i="2"/>
  <c r="C38" i="2"/>
  <c r="L30" i="11"/>
  <c r="C37" i="2"/>
  <c r="C25" i="2"/>
  <c r="L43" i="11"/>
  <c r="C31" i="2"/>
  <c r="K28" i="2"/>
  <c r="K27" i="2"/>
  <c r="C63" i="2"/>
  <c r="K12" i="2"/>
  <c r="L59" i="11"/>
  <c r="D35" i="11"/>
  <c r="K18" i="2"/>
  <c r="K65" i="2"/>
  <c r="C57" i="2"/>
  <c r="K60" i="2"/>
  <c r="K11" i="2"/>
  <c r="D55" i="11"/>
  <c r="L8" i="11"/>
  <c r="D40" i="11"/>
  <c r="K59" i="2"/>
  <c r="C54" i="2"/>
  <c r="K54" i="2"/>
  <c r="D16" i="11"/>
  <c r="L7" i="11"/>
  <c r="D6" i="11"/>
  <c r="C53" i="2"/>
  <c r="K53" i="2"/>
  <c r="C47" i="2"/>
  <c r="D58" i="11"/>
  <c r="D29" i="11"/>
  <c r="D19" i="11"/>
  <c r="D53" i="11"/>
  <c r="C55" i="2"/>
  <c r="C39" i="2"/>
  <c r="C23" i="2"/>
  <c r="D33" i="11"/>
  <c r="L44" i="11"/>
  <c r="D30" i="11"/>
  <c r="L64" i="11"/>
  <c r="D7" i="11"/>
  <c r="L10" i="11"/>
  <c r="D23" i="11"/>
  <c r="K50" i="2"/>
  <c r="L47" i="11"/>
  <c r="L57" i="11"/>
  <c r="L17" i="11"/>
  <c r="L11" i="11"/>
  <c r="D12" i="11"/>
  <c r="C9" i="2"/>
  <c r="C36" i="2"/>
  <c r="K17" i="2"/>
  <c r="D22" i="11"/>
  <c r="L50" i="11"/>
  <c r="D42" i="11"/>
  <c r="D48" i="11"/>
  <c r="L24" i="11"/>
  <c r="K67" i="2"/>
  <c r="C67" i="2"/>
  <c r="C51" i="2"/>
  <c r="C35" i="2"/>
  <c r="C19" i="2"/>
  <c r="K64" i="2"/>
  <c r="K48" i="2"/>
  <c r="K32" i="2"/>
  <c r="K16" i="2"/>
  <c r="D38" i="11"/>
  <c r="D63" i="11"/>
  <c r="D56" i="11"/>
  <c r="D54" i="11"/>
  <c r="D20" i="11"/>
  <c r="C22" i="2"/>
  <c r="C66" i="2"/>
  <c r="C50" i="2"/>
  <c r="C34" i="2"/>
  <c r="C18" i="2"/>
  <c r="D31" i="11"/>
  <c r="L37" i="11"/>
  <c r="D13" i="11"/>
  <c r="L41" i="11"/>
  <c r="D52" i="11"/>
  <c r="L15" i="11"/>
  <c r="D26" i="11"/>
  <c r="K62" i="2"/>
  <c r="K46" i="2"/>
  <c r="K30" i="2"/>
  <c r="K14" i="2"/>
  <c r="L14" i="11"/>
  <c r="C21" i="2"/>
  <c r="K61" i="2"/>
  <c r="K45" i="2"/>
  <c r="K29" i="2"/>
  <c r="K13" i="2"/>
  <c r="C62" i="2"/>
  <c r="K58" i="2"/>
  <c r="K42" i="2"/>
  <c r="K26" i="2"/>
  <c r="K10" i="2"/>
  <c r="D45" i="11"/>
  <c r="L34" i="11"/>
  <c r="L25" i="11"/>
  <c r="L61" i="11"/>
  <c r="D36" i="11"/>
  <c r="O60" i="11"/>
  <c r="N60" i="11"/>
  <c r="O41" i="11"/>
  <c r="N20" i="11"/>
  <c r="N23" i="11"/>
  <c r="N56" i="11"/>
  <c r="O17" i="11"/>
  <c r="N40" i="11"/>
  <c r="N28" i="11"/>
  <c r="N7" i="11"/>
  <c r="O51" i="11"/>
  <c r="N63" i="11"/>
  <c r="N39" i="11"/>
  <c r="N37" i="11"/>
  <c r="N36" i="11"/>
  <c r="N21" i="11"/>
  <c r="O48" i="11"/>
  <c r="O31" i="11"/>
  <c r="O13" i="11"/>
  <c r="O39" i="11"/>
  <c r="O37" i="11"/>
  <c r="O21" i="11"/>
  <c r="N14" i="11"/>
  <c r="O35" i="11"/>
  <c r="N6" i="11"/>
  <c r="N53" i="11"/>
  <c r="N49" i="11"/>
  <c r="N10" i="11"/>
  <c r="N24" i="11"/>
  <c r="N42" i="11"/>
  <c r="N26" i="11"/>
  <c r="N46" i="11"/>
  <c r="N50" i="11"/>
  <c r="O42" i="11"/>
  <c r="O9" i="11"/>
  <c r="N43" i="11"/>
  <c r="O25" i="11"/>
  <c r="N12" i="11"/>
  <c r="N18" i="11"/>
  <c r="O47" i="11"/>
  <c r="O57" i="11"/>
  <c r="O11" i="11"/>
  <c r="O34" i="11"/>
  <c r="O33" i="11"/>
  <c r="N19" i="11"/>
  <c r="O30" i="11"/>
  <c r="O29" i="11"/>
  <c r="O58" i="11"/>
  <c r="O8" i="11"/>
  <c r="N45" i="11"/>
  <c r="O36" i="11"/>
  <c r="N41" i="11"/>
  <c r="N54" i="11"/>
  <c r="N17" i="11"/>
  <c r="N59" i="11"/>
  <c r="N48" i="11"/>
  <c r="O55" i="11"/>
  <c r="N35" i="11"/>
  <c r="O6" i="11"/>
  <c r="N61" i="11"/>
  <c r="N38" i="11"/>
  <c r="N9" i="11"/>
  <c r="O24" i="11"/>
  <c r="O26" i="11"/>
  <c r="O38" i="11"/>
  <c r="O28" i="11"/>
  <c r="O56" i="11"/>
  <c r="N22" i="11"/>
  <c r="O46" i="11"/>
  <c r="O50" i="11"/>
  <c r="O22" i="11"/>
  <c r="N25" i="11"/>
  <c r="N15" i="11"/>
  <c r="N11" i="11"/>
  <c r="N47" i="11"/>
  <c r="N57" i="11"/>
  <c r="N64" i="11"/>
  <c r="N62" i="11"/>
  <c r="N33" i="11"/>
  <c r="N34" i="11"/>
  <c r="N30" i="11"/>
  <c r="N52" i="11"/>
  <c r="O43" i="11"/>
  <c r="N44" i="11"/>
  <c r="N27" i="11"/>
  <c r="O52" i="11"/>
  <c r="O16" i="11"/>
  <c r="O45" i="11"/>
  <c r="N29" i="11"/>
  <c r="O27" i="11"/>
  <c r="N51" i="11"/>
  <c r="O44" i="11"/>
  <c r="O19" i="11"/>
  <c r="N16" i="11"/>
  <c r="N32" i="11"/>
  <c r="N55" i="11"/>
  <c r="O63" i="11"/>
  <c r="N31" i="11"/>
  <c r="N58" i="11"/>
  <c r="N13" i="11"/>
  <c r="N8" i="11"/>
  <c r="O12" i="11"/>
  <c r="O10" i="11"/>
  <c r="O32" i="11"/>
  <c r="O15" i="11"/>
  <c r="O18" i="11"/>
  <c r="O54" i="11"/>
  <c r="O62" i="11"/>
  <c r="O14" i="11"/>
  <c r="O40" i="11"/>
  <c r="O7" i="11"/>
  <c r="O23" i="11"/>
  <c r="O64" i="11"/>
  <c r="O53" i="11"/>
  <c r="O59" i="11"/>
  <c r="O20" i="11"/>
  <c r="O61" i="11"/>
  <c r="O49" i="11"/>
  <c r="N56" i="2"/>
  <c r="M58" i="2"/>
  <c r="O29" i="2" l="1"/>
  <c r="O13" i="2"/>
  <c r="M53" i="11"/>
  <c r="L21" i="2"/>
  <c r="L43" i="2"/>
  <c r="L51" i="2"/>
  <c r="O67" i="2"/>
  <c r="O39" i="2"/>
  <c r="M8" i="11"/>
  <c r="Q8" i="11" s="1"/>
  <c r="R8" i="11" s="1"/>
  <c r="P25" i="11"/>
  <c r="O62" i="2"/>
  <c r="O32" i="2"/>
  <c r="M6" i="11"/>
  <c r="O26" i="2"/>
  <c r="P41" i="11"/>
  <c r="M28" i="11"/>
  <c r="P17" i="11"/>
  <c r="L19" i="2"/>
  <c r="O59" i="2"/>
  <c r="L47" i="2"/>
  <c r="O55" i="2"/>
  <c r="O60" i="2"/>
  <c r="P57" i="11"/>
  <c r="O40" i="2"/>
  <c r="L30" i="2"/>
  <c r="P61" i="11"/>
  <c r="M14" i="11"/>
  <c r="O36" i="2"/>
  <c r="M20" i="11"/>
  <c r="O52" i="2"/>
  <c r="O42" i="2"/>
  <c r="P62" i="11"/>
  <c r="M32" i="11"/>
  <c r="P23" i="11"/>
  <c r="O21" i="2"/>
  <c r="O25" i="2"/>
  <c r="P40" i="11"/>
  <c r="O57" i="2"/>
  <c r="O49" i="2"/>
  <c r="O65" i="2"/>
  <c r="L48" i="2"/>
  <c r="P38" i="11"/>
  <c r="M54" i="11"/>
  <c r="O9" i="2"/>
  <c r="P54" i="11"/>
  <c r="O41" i="2"/>
  <c r="P59" i="11"/>
  <c r="O34" i="2"/>
  <c r="O20" i="2"/>
  <c r="O61" i="2"/>
  <c r="O22" i="2"/>
  <c r="O18" i="2"/>
  <c r="L37" i="2"/>
  <c r="L64" i="2"/>
  <c r="L24" i="2"/>
  <c r="P22" i="11"/>
  <c r="M22" i="11"/>
  <c r="O33" i="2"/>
  <c r="O16" i="2"/>
  <c r="O50" i="2"/>
  <c r="L12" i="2"/>
  <c r="P46" i="11"/>
  <c r="P48" i="11"/>
  <c r="Q48" i="11" s="1"/>
  <c r="R48" i="11" s="1"/>
  <c r="O14" i="2"/>
  <c r="M52" i="11"/>
  <c r="O10" i="2"/>
  <c r="P14" i="11"/>
  <c r="L22" i="2"/>
  <c r="O11" i="2"/>
  <c r="L27" i="2"/>
  <c r="O46" i="2"/>
  <c r="O17" i="2"/>
  <c r="O47" i="2"/>
  <c r="O43" i="2"/>
  <c r="P8" i="11"/>
  <c r="M9" i="11"/>
  <c r="P64" i="11"/>
  <c r="O24" i="2"/>
  <c r="L35" i="2"/>
  <c r="M48" i="11"/>
  <c r="O27" i="2"/>
  <c r="O48" i="2"/>
  <c r="O35" i="2"/>
  <c r="O15" i="2"/>
  <c r="M62" i="11"/>
  <c r="M17" i="11"/>
  <c r="Q17" i="11" s="1"/>
  <c r="R17" i="11" s="1"/>
  <c r="M36" i="11"/>
  <c r="Q36" i="11" s="1"/>
  <c r="R36" i="11" s="1"/>
  <c r="P45" i="11"/>
  <c r="M23" i="11"/>
  <c r="Q23" i="11" s="1"/>
  <c r="R23" i="11" s="1"/>
  <c r="M30" i="11"/>
  <c r="L67" i="2"/>
  <c r="O53" i="2"/>
  <c r="L52" i="2"/>
  <c r="O38" i="2"/>
  <c r="O54" i="2"/>
  <c r="L20" i="2"/>
  <c r="O19" i="2"/>
  <c r="O51" i="2"/>
  <c r="O66" i="2"/>
  <c r="O12" i="2"/>
  <c r="M42" i="11"/>
  <c r="L42" i="2"/>
  <c r="L25" i="2"/>
  <c r="L60" i="2"/>
  <c r="L63" i="2"/>
  <c r="L34" i="2"/>
  <c r="P43" i="11"/>
  <c r="M11" i="11"/>
  <c r="Q11" i="11" s="1"/>
  <c r="R11" i="11" s="1"/>
  <c r="M15" i="11"/>
  <c r="L29" i="2"/>
  <c r="L58" i="2"/>
  <c r="L59" i="2"/>
  <c r="L50" i="2"/>
  <c r="L57" i="2"/>
  <c r="P24" i="11"/>
  <c r="P12" i="11"/>
  <c r="P20" i="11"/>
  <c r="M59" i="11"/>
  <c r="P56" i="11"/>
  <c r="P51" i="11"/>
  <c r="P6" i="11"/>
  <c r="P36" i="11"/>
  <c r="P32" i="11"/>
  <c r="M51" i="11"/>
  <c r="Q51" i="11" s="1"/>
  <c r="R51" i="11" s="1"/>
  <c r="L41" i="2"/>
  <c r="L36" i="2"/>
  <c r="L11" i="2"/>
  <c r="L16" i="2"/>
  <c r="L31" i="2"/>
  <c r="L46" i="2"/>
  <c r="P11" i="11"/>
  <c r="P50" i="11"/>
  <c r="P49" i="11"/>
  <c r="Q49" i="11" s="1"/>
  <c r="R49" i="11" s="1"/>
  <c r="M10" i="11"/>
  <c r="Q10" i="11" s="1"/>
  <c r="R10" i="11" s="1"/>
  <c r="M37" i="11"/>
  <c r="M29" i="11"/>
  <c r="P28" i="11"/>
  <c r="Q28" i="11" s="1"/>
  <c r="R28" i="11" s="1"/>
  <c r="P7" i="11"/>
  <c r="L33" i="2"/>
  <c r="P37" i="11"/>
  <c r="P47" i="11"/>
  <c r="P9" i="11"/>
  <c r="M27" i="11"/>
  <c r="M26" i="11"/>
  <c r="P58" i="11"/>
  <c r="O63" i="2"/>
  <c r="O23" i="2"/>
  <c r="O58" i="2"/>
  <c r="L23" i="2"/>
  <c r="L10" i="2"/>
  <c r="L56" i="2"/>
  <c r="P31" i="11"/>
  <c r="P42" i="11"/>
  <c r="P18" i="11"/>
  <c r="M39" i="11"/>
  <c r="M18" i="11"/>
  <c r="Q18" i="11" s="1"/>
  <c r="R18" i="11" s="1"/>
  <c r="L9" i="2"/>
  <c r="P53" i="11"/>
  <c r="Q53" i="11" s="1"/>
  <c r="R53" i="11" s="1"/>
  <c r="P21" i="11"/>
  <c r="P15" i="11"/>
  <c r="M63" i="11"/>
  <c r="M49" i="11"/>
  <c r="M50" i="11"/>
  <c r="M16" i="11"/>
  <c r="Q16" i="11" s="1"/>
  <c r="R16" i="11" s="1"/>
  <c r="M34" i="11"/>
  <c r="P19" i="11"/>
  <c r="L54" i="2"/>
  <c r="L26" i="2"/>
  <c r="L53" i="2"/>
  <c r="L13" i="2"/>
  <c r="P35" i="11"/>
  <c r="M12" i="11"/>
  <c r="M24" i="11"/>
  <c r="M25" i="11"/>
  <c r="M31" i="11"/>
  <c r="Q31" i="11" s="1"/>
  <c r="R31" i="11" s="1"/>
  <c r="M55" i="11"/>
  <c r="Q55" i="11" s="1"/>
  <c r="R55" i="11" s="1"/>
  <c r="M45" i="11"/>
  <c r="L32" i="2"/>
  <c r="L55" i="2"/>
  <c r="L45" i="2"/>
  <c r="P10" i="11"/>
  <c r="P39" i="11"/>
  <c r="P13" i="11"/>
  <c r="M57" i="11"/>
  <c r="M13" i="11"/>
  <c r="Q13" i="11" s="1"/>
  <c r="R13" i="11" s="1"/>
  <c r="P29" i="11"/>
  <c r="M64" i="11"/>
  <c r="Q64" i="11" s="1"/>
  <c r="R64" i="11" s="1"/>
  <c r="M58" i="11"/>
  <c r="Q58" i="11" s="1"/>
  <c r="R58" i="11" s="1"/>
  <c r="M56" i="11"/>
  <c r="P63" i="11"/>
  <c r="M35" i="11"/>
  <c r="L65" i="2"/>
  <c r="L15" i="2"/>
  <c r="L18" i="2"/>
  <c r="L28" i="2"/>
  <c r="P55" i="11"/>
  <c r="M38" i="11"/>
  <c r="M7" i="11"/>
  <c r="M44" i="11"/>
  <c r="M21" i="11"/>
  <c r="Q21" i="11" s="1"/>
  <c r="R21" i="11" s="1"/>
  <c r="M46" i="11"/>
  <c r="P34" i="11"/>
  <c r="P16" i="11"/>
  <c r="P60" i="11"/>
  <c r="L17" i="2"/>
  <c r="L49" i="2"/>
  <c r="O56" i="2"/>
  <c r="L66" i="2"/>
  <c r="L40" i="2"/>
  <c r="L14" i="2"/>
  <c r="P44" i="11"/>
  <c r="P26" i="11"/>
  <c r="M60" i="11"/>
  <c r="M41" i="11"/>
  <c r="M43" i="11"/>
  <c r="M61" i="11"/>
  <c r="L44" i="2"/>
  <c r="L62" i="2"/>
  <c r="L39" i="2"/>
  <c r="L38" i="2"/>
  <c r="P30" i="11"/>
  <c r="O30" i="2"/>
  <c r="O64" i="2"/>
  <c r="O28" i="2"/>
  <c r="O31" i="2"/>
  <c r="O37" i="2"/>
  <c r="O45" i="2"/>
  <c r="O44" i="2"/>
  <c r="L61" i="2"/>
  <c r="P33" i="11"/>
  <c r="P52" i="11"/>
  <c r="Q52" i="11" s="1"/>
  <c r="R52" i="11" s="1"/>
  <c r="M47" i="11"/>
  <c r="Q47" i="11" s="1"/>
  <c r="R47" i="11" s="1"/>
  <c r="M40" i="11"/>
  <c r="P27" i="11"/>
  <c r="M19" i="11"/>
  <c r="M33" i="11"/>
  <c r="Q14" i="11"/>
  <c r="R14" i="11" s="1"/>
  <c r="Q50" i="11"/>
  <c r="R50" i="11" s="1"/>
  <c r="Q57" i="11"/>
  <c r="R57" i="11" s="1"/>
  <c r="Q22" i="11"/>
  <c r="R22" i="11" s="1"/>
  <c r="M11" i="2"/>
  <c r="M13" i="2"/>
  <c r="M62" i="2"/>
  <c r="M9" i="2"/>
  <c r="M54" i="2"/>
  <c r="M33" i="2"/>
  <c r="M56" i="2"/>
  <c r="M24" i="2"/>
  <c r="M14" i="2"/>
  <c r="M22" i="2"/>
  <c r="M25" i="2"/>
  <c r="M61" i="2"/>
  <c r="M21" i="2"/>
  <c r="M35" i="2"/>
  <c r="M67" i="2"/>
  <c r="M46" i="2"/>
  <c r="M38" i="2"/>
  <c r="M28" i="2"/>
  <c r="M19" i="2"/>
  <c r="M49" i="2"/>
  <c r="M10" i="2"/>
  <c r="M41" i="2"/>
  <c r="M29" i="2"/>
  <c r="M44" i="2"/>
  <c r="M50" i="2"/>
  <c r="M16" i="2"/>
  <c r="M31" i="2"/>
  <c r="M43" i="2"/>
  <c r="N41" i="2"/>
  <c r="N15" i="2"/>
  <c r="N17" i="2"/>
  <c r="N46" i="2"/>
  <c r="N10" i="2"/>
  <c r="N9" i="2"/>
  <c r="N53" i="2"/>
  <c r="N38" i="2"/>
  <c r="M23" i="2"/>
  <c r="M51" i="2"/>
  <c r="N26" i="2"/>
  <c r="N31" i="2"/>
  <c r="N34" i="2"/>
  <c r="M34" i="2"/>
  <c r="N20" i="2"/>
  <c r="N16" i="2"/>
  <c r="N36" i="2"/>
  <c r="N51" i="2"/>
  <c r="N50" i="2"/>
  <c r="M65" i="2"/>
  <c r="M15" i="2"/>
  <c r="M39" i="2"/>
  <c r="M45" i="2"/>
  <c r="M17" i="2"/>
  <c r="M47" i="2"/>
  <c r="N58" i="2"/>
  <c r="N27" i="2"/>
  <c r="N57" i="2"/>
  <c r="N59" i="2"/>
  <c r="N49" i="2"/>
  <c r="N63" i="2"/>
  <c r="M53" i="2"/>
  <c r="N37" i="2"/>
  <c r="N39" i="2"/>
  <c r="M60" i="2"/>
  <c r="M12" i="2"/>
  <c r="N60" i="2"/>
  <c r="M18" i="2"/>
  <c r="N44" i="2"/>
  <c r="M36" i="2"/>
  <c r="N29" i="2"/>
  <c r="M27" i="2"/>
  <c r="M48" i="2"/>
  <c r="M42" i="2"/>
  <c r="N62" i="2"/>
  <c r="N42" i="2"/>
  <c r="M37" i="2"/>
  <c r="M57" i="2"/>
  <c r="M32" i="2"/>
  <c r="M63" i="2"/>
  <c r="M52" i="2"/>
  <c r="N48" i="2"/>
  <c r="N21" i="2"/>
  <c r="N11" i="2"/>
  <c r="N67" i="2"/>
  <c r="N66" i="2"/>
  <c r="M55" i="2"/>
  <c r="N55" i="2"/>
  <c r="M30" i="2"/>
  <c r="N43" i="2"/>
  <c r="N47" i="2"/>
  <c r="N33" i="2"/>
  <c r="N22" i="2"/>
  <c r="M26" i="2"/>
  <c r="N23" i="2"/>
  <c r="N12" i="2"/>
  <c r="N19" i="2"/>
  <c r="N54" i="2"/>
  <c r="N28" i="2"/>
  <c r="N64" i="2"/>
  <c r="M59" i="2"/>
  <c r="N32" i="2"/>
  <c r="M40" i="2"/>
  <c r="N61" i="2"/>
  <c r="M64" i="2"/>
  <c r="M66" i="2"/>
  <c r="M20" i="2"/>
  <c r="N24" i="2"/>
  <c r="N45" i="2"/>
  <c r="N52" i="2"/>
  <c r="N40" i="2"/>
  <c r="N14" i="2"/>
  <c r="N35" i="2"/>
  <c r="N25" i="2"/>
  <c r="N30" i="2"/>
  <c r="N65" i="2"/>
  <c r="N18" i="2"/>
  <c r="N13" i="2"/>
  <c r="Q43" i="11" l="1"/>
  <c r="R43" i="11" s="1"/>
  <c r="Q30" i="11"/>
  <c r="R30" i="11" s="1"/>
  <c r="Q41" i="11"/>
  <c r="R41" i="11" s="1"/>
  <c r="Q35" i="11"/>
  <c r="R35" i="11" s="1"/>
  <c r="Q54" i="11"/>
  <c r="R54" i="11" s="1"/>
  <c r="Q62" i="11"/>
  <c r="R62" i="11" s="1"/>
  <c r="Q37" i="11"/>
  <c r="R37" i="11" s="1"/>
  <c r="Q60" i="11"/>
  <c r="R60" i="11" s="1"/>
  <c r="Q6" i="11"/>
  <c r="R6" i="11" s="1"/>
  <c r="Q9" i="11"/>
  <c r="R9" i="11" s="1"/>
  <c r="Q46" i="11"/>
  <c r="R46" i="11" s="1"/>
  <c r="Q45" i="11"/>
  <c r="R45" i="11" s="1"/>
  <c r="Q59" i="11"/>
  <c r="R59" i="11" s="1"/>
  <c r="Q12" i="11"/>
  <c r="R12" i="11" s="1"/>
  <c r="Q29" i="11"/>
  <c r="R29" i="11" s="1"/>
  <c r="Q20" i="11"/>
  <c r="R20" i="11" s="1"/>
  <c r="Q32" i="11"/>
  <c r="R32" i="11" s="1"/>
  <c r="Q33" i="11"/>
  <c r="R33" i="11" s="1"/>
  <c r="Q63" i="11"/>
  <c r="R63" i="11" s="1"/>
  <c r="Q56" i="11"/>
  <c r="R56" i="11" s="1"/>
  <c r="Q44" i="11"/>
  <c r="R44" i="11" s="1"/>
  <c r="Q38" i="11"/>
  <c r="R38" i="11" s="1"/>
  <c r="Q25" i="11"/>
  <c r="R25" i="11" s="1"/>
  <c r="Q34" i="11"/>
  <c r="R34" i="11" s="1"/>
  <c r="P9" i="2"/>
  <c r="Q19" i="11"/>
  <c r="R19" i="11" s="1"/>
  <c r="Q26" i="11"/>
  <c r="R26" i="11" s="1"/>
  <c r="Q15" i="11"/>
  <c r="R15" i="11" s="1"/>
  <c r="Q39" i="11"/>
  <c r="R39" i="11" s="1"/>
  <c r="Q27" i="11"/>
  <c r="R27" i="11" s="1"/>
  <c r="Q40" i="11"/>
  <c r="R40" i="11" s="1"/>
  <c r="Q61" i="11"/>
  <c r="R61" i="11" s="1"/>
  <c r="Q42" i="11"/>
  <c r="R42" i="11" s="1"/>
  <c r="Q7" i="11"/>
  <c r="R7" i="11" s="1"/>
  <c r="Q24" i="11"/>
  <c r="R24" i="11" s="1"/>
  <c r="P20" i="2"/>
  <c r="P58" i="2"/>
  <c r="P49" i="2"/>
  <c r="P61" i="2"/>
  <c r="P27" i="2"/>
  <c r="P51" i="2"/>
  <c r="P37" i="2"/>
  <c r="P43" i="2"/>
  <c r="P13" i="2"/>
  <c r="P62" i="2"/>
  <c r="P56" i="2"/>
  <c r="P29" i="2"/>
  <c r="P38" i="2"/>
  <c r="P52" i="2"/>
  <c r="P15" i="2"/>
  <c r="P11" i="2"/>
  <c r="P33" i="2"/>
  <c r="P34" i="2"/>
  <c r="P55" i="2"/>
  <c r="P12" i="2"/>
  <c r="P53" i="2"/>
  <c r="P22" i="2"/>
  <c r="P10" i="2"/>
  <c r="P47" i="2"/>
  <c r="P54" i="2"/>
  <c r="P46" i="2"/>
  <c r="P41" i="2"/>
  <c r="P21" i="2"/>
  <c r="P31" i="2"/>
  <c r="P36" i="2"/>
  <c r="P44" i="2"/>
  <c r="P66" i="2"/>
  <c r="P35" i="2"/>
  <c r="P18" i="2"/>
  <c r="P60" i="2"/>
  <c r="P50" i="2"/>
  <c r="P16" i="2"/>
  <c r="P25" i="2"/>
  <c r="P42" i="2"/>
  <c r="P40" i="2"/>
  <c r="P48" i="2"/>
  <c r="P14" i="2"/>
  <c r="P32" i="2"/>
  <c r="P45" i="2"/>
  <c r="P67" i="2"/>
  <c r="P59" i="2"/>
  <c r="P19" i="2"/>
  <c r="P28" i="2"/>
  <c r="P57" i="2"/>
  <c r="P65" i="2"/>
  <c r="P17" i="2"/>
  <c r="P64" i="2"/>
  <c r="P30" i="2"/>
  <c r="P26" i="2"/>
  <c r="P24" i="2"/>
  <c r="P23" i="2"/>
  <c r="P63" i="2"/>
  <c r="P39" i="2"/>
</calcChain>
</file>

<file path=xl/sharedStrings.xml><?xml version="1.0" encoding="utf-8"?>
<sst xmlns="http://schemas.openxmlformats.org/spreadsheetml/2006/main" count="2712" uniqueCount="1061">
  <si>
    <t>Company</t>
  </si>
  <si>
    <t>Share Price</t>
  </si>
  <si>
    <t>Market Cap</t>
  </si>
  <si>
    <t>Total Debt</t>
  </si>
  <si>
    <t>Cash &amp; Equivalents</t>
  </si>
  <si>
    <t>Net Debt (formula)</t>
  </si>
  <si>
    <t>EBITDA</t>
  </si>
  <si>
    <t>EBIT</t>
  </si>
  <si>
    <t>Net Profit</t>
  </si>
  <si>
    <t>Shares Outstanding</t>
  </si>
  <si>
    <t>EPS (formula)</t>
  </si>
  <si>
    <t>Equity</t>
  </si>
  <si>
    <t>Book Value per Share</t>
  </si>
  <si>
    <t>Revenue</t>
  </si>
  <si>
    <t>Operating Profit</t>
  </si>
  <si>
    <t>Interest Expense</t>
  </si>
  <si>
    <t>Dividend per Share</t>
  </si>
  <si>
    <t>EV/EBITDA</t>
  </si>
  <si>
    <t>P/E</t>
  </si>
  <si>
    <t>P/B</t>
  </si>
  <si>
    <t>ROE</t>
  </si>
  <si>
    <t>ROCE</t>
  </si>
  <si>
    <t>Debt/Equity</t>
  </si>
  <si>
    <t>Interest Coverage</t>
  </si>
  <si>
    <t>Operating Margin</t>
  </si>
  <si>
    <t>Net Profit Margin</t>
  </si>
  <si>
    <t>Dividend Yield</t>
  </si>
  <si>
    <t>Industry</t>
  </si>
  <si>
    <t>Market cap</t>
  </si>
  <si>
    <t>Div yield % (indicated)</t>
  </si>
  <si>
    <t>Change %</t>
  </si>
  <si>
    <t>Volume</t>
  </si>
  <si>
    <t>Stocks</t>
  </si>
  <si>
    <t>Electric Utilities</t>
  </si>
  <si>
    <t>−2.36%</t>
  </si>
  <si>
    <t>6.58 M</t>
  </si>
  <si>
    <t>Alternative Power Generation</t>
  </si>
  <si>
    <t>−1.98%</t>
  </si>
  <si>
    <t>9.44 M</t>
  </si>
  <si>
    <t>Gas Distributors</t>
  </si>
  <si>
    <t>−2.14%</t>
  </si>
  <si>
    <t>4.55 M</t>
  </si>
  <si>
    <t>Water Utilities</t>
  </si>
  <si>
    <t>—</t>
  </si>
  <si>
    <t>−1.19%</t>
  </si>
  <si>
    <t>5.6 K</t>
  </si>
  <si>
    <t>15.01 T INR</t>
  </si>
  <si>
    <t>3.77 T INR</t>
  </si>
  <si>
    <t>3.01 T INR</t>
  </si>
  <si>
    <t>1.72 B INR</t>
  </si>
  <si>
    <t>Symbol</t>
  </si>
  <si>
    <t>Price</t>
  </si>
  <si>
    <t>Rel Volume</t>
  </si>
  <si>
    <t>EPS dil</t>
  </si>
  <si>
    <t>EPS dil growth</t>
  </si>
  <si>
    <t>Div yield %</t>
  </si>
  <si>
    <t>Sector</t>
  </si>
  <si>
    <t>Analyst Rating</t>
  </si>
  <si>
    <t>NTPCNTPC Limited</t>
  </si>
  <si>
    <t>3.14 T INR</t>
  </si>
  <si>
    <t>319.50 INR</t>
  </si>
  <si>
    <t>−1.18%</t>
  </si>
  <si>
    <t>7.91 M</t>
  </si>
  <si>
    <t>24.49 INR</t>
  </si>
  <si>
    <t>Utilities</t>
  </si>
  <si>
    <t>Buy</t>
  </si>
  <si>
    <t>ADANIPOWERAdani Power Limited</t>
  </si>
  <si>
    <t>2.77 T INR</t>
  </si>
  <si>
    <t>139.04 INR</t>
  </si>
  <si>
    <t>−3.30%</t>
  </si>
  <si>
    <t>14.99 M</t>
  </si>
  <si>
    <t>6.24 INR</t>
  </si>
  <si>
    <t>−5.41%</t>
  </si>
  <si>
    <t>Strong buy</t>
  </si>
  <si>
    <t>ADANIGREENAdani Green Energy Limited</t>
  </si>
  <si>
    <t>1.67 T INR</t>
  </si>
  <si>
    <t>993.80 INR</t>
  </si>
  <si>
    <t>−2.35%</t>
  </si>
  <si>
    <t>1.31 M</t>
  </si>
  <si>
    <t>12.49 INR</t>
  </si>
  <si>
    <t>TATAPOWERTata Power Company Limited</t>
  </si>
  <si>
    <t>1.23 T INR</t>
  </si>
  <si>
    <t>374.15 INR</t>
  </si>
  <si>
    <t>−2.69%</t>
  </si>
  <si>
    <t>7.01 M</t>
  </si>
  <si>
    <t>12.68 INR</t>
  </si>
  <si>
    <t>Neutral</t>
  </si>
  <si>
    <t>ADANIENSOLAdani Energy Solutions Ltd</t>
  </si>
  <si>
    <t>1.18 T INR</t>
  </si>
  <si>
    <t>960.50 INR</t>
  </si>
  <si>
    <t>−1.87%</t>
  </si>
  <si>
    <t>1.41 M</t>
  </si>
  <si>
    <t>18.77 INR</t>
  </si>
  <si>
    <t>ENRINSiemens Energy India Limited</t>
  </si>
  <si>
    <t>1.1 T INR</t>
  </si>
  <si>
    <t>2,953.80 INR</t>
  </si>
  <si>
    <t>−4.66%</t>
  </si>
  <si>
    <t>518.82 K</t>
  </si>
  <si>
    <t>JSWENERGYJSW Energy Limited</t>
  </si>
  <si>
    <t>806.42 B INR</t>
  </si>
  <si>
    <t>453.85 INR</t>
  </si>
  <si>
    <t>−1.75%</t>
  </si>
  <si>
    <t>3.06 M</t>
  </si>
  <si>
    <t>11.58 INR</t>
  </si>
  <si>
    <t>NHPCNHPC Limited</t>
  </si>
  <si>
    <t>774.47 B INR</t>
  </si>
  <si>
    <t>76.43 INR</t>
  </si>
  <si>
    <t>−0.83%</t>
  </si>
  <si>
    <t>9.18 M</t>
  </si>
  <si>
    <t>3.16 INR</t>
  </si>
  <si>
    <t>TORNTPOWERTorrent Power Limited</t>
  </si>
  <si>
    <t>647.26 B INR</t>
  </si>
  <si>
    <t>1,255.10 INR</t>
  </si>
  <si>
    <t>−2.70%</t>
  </si>
  <si>
    <t>316.75 K</t>
  </si>
  <si>
    <t>59.66 INR</t>
  </si>
  <si>
    <t>NLCINDIANLC India Limited</t>
  </si>
  <si>
    <t>333.83 B INR</t>
  </si>
  <si>
    <t>236.85 INR</t>
  </si>
  <si>
    <t>−1.07%</t>
  </si>
  <si>
    <t>984.08 K</t>
  </si>
  <si>
    <t>18.84 INR</t>
  </si>
  <si>
    <t>SJVNSJVN Limited</t>
  </si>
  <si>
    <t>291 B INR</t>
  </si>
  <si>
    <t>71.24 INR</t>
  </si>
  <si>
    <t>−3.82%</t>
  </si>
  <si>
    <t>4.69 M</t>
  </si>
  <si>
    <t>1.42 INR</t>
  </si>
  <si>
    <t>−44.22%</t>
  </si>
  <si>
    <t>CESCCESC Ltd</t>
  </si>
  <si>
    <t>230.65 B INR</t>
  </si>
  <si>
    <t>168.42 INR</t>
  </si>
  <si>
    <t>−3.21%</t>
  </si>
  <si>
    <t>778.26 K</t>
  </si>
  <si>
    <t>10.94 INR</t>
  </si>
  <si>
    <t>NAVANava Limited</t>
  </si>
  <si>
    <t>148.99 B INR</t>
  </si>
  <si>
    <t>515.95 INR</t>
  </si>
  <si>
    <t>−1.99%</t>
  </si>
  <si>
    <t>202.11 K</t>
  </si>
  <si>
    <t>32.37 INR</t>
  </si>
  <si>
    <t>−17.68%</t>
  </si>
  <si>
    <t>SWANCORPSwan Corp Limited</t>
  </si>
  <si>
    <t>140.16 B INR</t>
  </si>
  <si>
    <t>444.00 INR</t>
  </si>
  <si>
    <t>−0.65%</t>
  </si>
  <si>
    <t>1.26 M</t>
  </si>
  <si>
    <t>18.52 INR</t>
  </si>
  <si>
    <t>JPPOWERJaiprakash Power Ventures Limited</t>
  </si>
  <si>
    <t>129.74 B INR</t>
  </si>
  <si>
    <t>18.29 INR</t>
  </si>
  <si>
    <t>−3.33%</t>
  </si>
  <si>
    <t>49.46 M</t>
  </si>
  <si>
    <t>0.80 INR</t>
  </si>
  <si>
    <t>−50.89%</t>
  </si>
  <si>
    <t>RELINFRAReliance Infrastructure Limited</t>
  </si>
  <si>
    <t>63.19 B INR</t>
  </si>
  <si>
    <t>146.97 INR</t>
  </si>
  <si>
    <t>−5.00%</t>
  </si>
  <si>
    <t>1.01 M</t>
  </si>
  <si>
    <t>47.47 INR</t>
  </si>
  <si>
    <t>−40.56%</t>
  </si>
  <si>
    <t>RTNPOWERRattanIndia Power Limited</t>
  </si>
  <si>
    <t>52.09 B INR</t>
  </si>
  <si>
    <t>9.34 INR</t>
  </si>
  <si>
    <t>−3.71%</t>
  </si>
  <si>
    <t>12.71 M</t>
  </si>
  <si>
    <t>0.16 INR</t>
  </si>
  <si>
    <t>−99.16%</t>
  </si>
  <si>
    <t>PTCPTC India Limited</t>
  </si>
  <si>
    <t>46.31 B INR</t>
  </si>
  <si>
    <t>152.57 INR</t>
  </si>
  <si>
    <t>−2.50%</t>
  </si>
  <si>
    <t>790.51 K</t>
  </si>
  <si>
    <t>30.25 INR</t>
  </si>
  <si>
    <t>PACEDIGITKPace Digitek Limited</t>
  </si>
  <si>
    <t>44.85 B INR</t>
  </si>
  <si>
    <t>200.93 INR</t>
  </si>
  <si>
    <t>−3.28%</t>
  </si>
  <si>
    <t>599.02 K</t>
  </si>
  <si>
    <t>SGMARTSG Mart Ltd</t>
  </si>
  <si>
    <t>40.98 B INR</t>
  </si>
  <si>
    <t>337.95 INR</t>
  </si>
  <si>
    <t>−1.63%</t>
  </si>
  <si>
    <t>62.91 K</t>
  </si>
  <si>
    <t>10.06 INR</t>
  </si>
  <si>
    <t>GIPCLGujarat Industries Power Co. Ltd.</t>
  </si>
  <si>
    <t>24.08 B INR</t>
  </si>
  <si>
    <t>146.20 INR</t>
  </si>
  <si>
    <t>−5.84%</t>
  </si>
  <si>
    <t>724.85 K</t>
  </si>
  <si>
    <t>12.16 INR</t>
  </si>
  <si>
    <t>−14.58%</t>
  </si>
  <si>
    <t>GREENPOWEROrient Green Power Company Ltd</t>
  </si>
  <si>
    <t>14.15 B INR</t>
  </si>
  <si>
    <t>11.69 INR</t>
  </si>
  <si>
    <t>−2.99%</t>
  </si>
  <si>
    <t>3.07 M</t>
  </si>
  <si>
    <t>0.59 INR</t>
  </si>
  <si>
    <t>TEXINFRATexmaco Infrastructure &amp; Holdings Limited</t>
  </si>
  <si>
    <t>13.36 B INR</t>
  </si>
  <si>
    <t>103.96 INR</t>
  </si>
  <si>
    <t>−0.99%</t>
  </si>
  <si>
    <t>156.56 K</t>
  </si>
  <si>
    <t>−0.07 INR</t>
  </si>
  <si>
    <t>−114.96%</t>
  </si>
  <si>
    <t>JYOTISTRUCJyoti Structures Ltd.</t>
  </si>
  <si>
    <t>13.05 B INR</t>
  </si>
  <si>
    <t>10.36 INR</t>
  </si>
  <si>
    <t>−5.47%</t>
  </si>
  <si>
    <t>9.5 M</t>
  </si>
  <si>
    <t>0.39 INR</t>
  </si>
  <si>
    <t>DPSCLTDIndia Power Corp. Ltd.</t>
  </si>
  <si>
    <t>9.96 B INR</t>
  </si>
  <si>
    <t>10.48 INR</t>
  </si>
  <si>
    <t>183.69 K</t>
  </si>
  <si>
    <t>0.08 INR</t>
  </si>
  <si>
    <t>−57.25%</t>
  </si>
  <si>
    <t>MADHAVIPLMadhav Infra Projects Ltd.</t>
  </si>
  <si>
    <t>3.1 B INR</t>
  </si>
  <si>
    <t>11.05 INR</t>
  </si>
  <si>
    <t>−4.00%</t>
  </si>
  <si>
    <t>248.93 K</t>
  </si>
  <si>
    <t>1.29 INR</t>
  </si>
  <si>
    <t>EKIEKI Energy Services Ltd.</t>
  </si>
  <si>
    <t>2.86 B INR</t>
  </si>
  <si>
    <t>100.55 INR</t>
  </si>
  <si>
    <t>−2.90%</t>
  </si>
  <si>
    <t>16.4 K</t>
  </si>
  <si>
    <t>−2.75 INR</t>
  </si>
  <si>
    <t>INDOWINDIndowind Energy Limited</t>
  </si>
  <si>
    <t>2.64 B INR</t>
  </si>
  <si>
    <t>15.95 INR</t>
  </si>
  <si>
    <t>−2.74%</t>
  </si>
  <si>
    <t>342.53 K</t>
  </si>
  <si>
    <t>0.18 INR</t>
  </si>
  <si>
    <t>−67.65%</t>
  </si>
  <si>
    <t>ENERGYDEVEnergy Development Co. Ltd.</t>
  </si>
  <si>
    <t>997.98 M INR</t>
  </si>
  <si>
    <t>20.04 INR</t>
  </si>
  <si>
    <t>−2.15%</t>
  </si>
  <si>
    <t>64.63 K</t>
  </si>
  <si>
    <t>−19.19 INR</t>
  </si>
  <si>
    <t>−3,615.56%</t>
  </si>
  <si>
    <t>KARMAENGKarma Energy Limited</t>
  </si>
  <si>
    <t>651.62 M INR</t>
  </si>
  <si>
    <t>49.23 INR</t>
  </si>
  <si>
    <t>−7.04%</t>
  </si>
  <si>
    <t>5.75 K</t>
  </si>
  <si>
    <t>0.48 INR</t>
  </si>
  <si>
    <t>WAAWaa Solar Ltd.</t>
  </si>
  <si>
    <t>638.13 M INR</t>
  </si>
  <si>
    <t>45.00 INR</t>
  </si>
  <si>
    <t>−6.44%</t>
  </si>
  <si>
    <t>4.8 K</t>
  </si>
  <si>
    <t>INDRENEWIND Renewable Energy Ltd</t>
  </si>
  <si>
    <t>173.1 M INR</t>
  </si>
  <si>
    <t>12.38 INR</t>
  </si>
  <si>
    <t>−0.40%</t>
  </si>
  <si>
    <t>31.73 K</t>
  </si>
  <si>
    <t>−0.02 INR</t>
  </si>
  <si>
    <t>−110.21%</t>
  </si>
  <si>
    <t>SKILVENSkyline Ventures India Ltd</t>
  </si>
  <si>
    <t>22.00 INR</t>
  </si>
  <si>
    <t>−4.51%</t>
  </si>
  <si>
    <t>GITARENEWGita Renewable Energy Ltd</t>
  </si>
  <si>
    <t>90.64 INR</t>
  </si>
  <si>
    <t>−2.59%</t>
  </si>
  <si>
    <t>SRMENERGYSRM Energy Limited</t>
  </si>
  <si>
    <t>22.46 INR</t>
  </si>
  <si>
    <t>−4.99%</t>
  </si>
  <si>
    <t>KKVAPOWKKV Agro Powers Ltd.</t>
  </si>
  <si>
    <t>634.00 INR</t>
  </si>
  <si>
    <t>AGNIAgni Green Power Ltd.</t>
  </si>
  <si>
    <t>24.50 INR</t>
  </si>
  <si>
    <t>15 K</t>
  </si>
  <si>
    <t>0.36 INR</t>
  </si>
  <si>
    <t>POWERGRIDPower Grid Corporation of India Limited</t>
  </si>
  <si>
    <t>2.51 T INR</t>
  </si>
  <si>
    <t>265.20 INR</t>
  </si>
  <si>
    <t>−1.70%</t>
  </si>
  <si>
    <t>10.2 M</t>
  </si>
  <si>
    <t>16.29 INR</t>
  </si>
  <si>
    <t>−3.57%</t>
  </si>
  <si>
    <t>NTPCGREENNTPC Green Energy Limited</t>
  </si>
  <si>
    <t>768.65 B INR</t>
  </si>
  <si>
    <t>90.27 INR</t>
  </si>
  <si>
    <t>−1.03%</t>
  </si>
  <si>
    <t>2.9 M</t>
  </si>
  <si>
    <t>0.72 INR</t>
  </si>
  <si>
    <t>RPOWERReliance Power Limited</t>
  </si>
  <si>
    <t>155.88 B INR</t>
  </si>
  <si>
    <t>35.40 INR</t>
  </si>
  <si>
    <t>−6.05%</t>
  </si>
  <si>
    <t>47.51 M</t>
  </si>
  <si>
    <t>0.69 INR</t>
  </si>
  <si>
    <t>−76.33%</t>
  </si>
  <si>
    <t>WAAREERTLWaaree Renewable Technologies Ltd</t>
  </si>
  <si>
    <t>102.78 B INR</t>
  </si>
  <si>
    <t>943.10 INR</t>
  </si>
  <si>
    <t>−4.26%</t>
  </si>
  <si>
    <t>602.47 K</t>
  </si>
  <si>
    <t>33.50 INR</t>
  </si>
  <si>
    <t>KPIGREENKPI Green Energy Limited</t>
  </si>
  <si>
    <t>83.51 B INR</t>
  </si>
  <si>
    <t>395.10 INR</t>
  </si>
  <si>
    <t>−6.72%</t>
  </si>
  <si>
    <t>1.93 M</t>
  </si>
  <si>
    <t>19.99 INR</t>
  </si>
  <si>
    <t>INOXGREENInox Green Energy Services Ltd.</t>
  </si>
  <si>
    <t>75.9 B INR</t>
  </si>
  <si>
    <t>197.03 INR</t>
  </si>
  <si>
    <t>−4.53%</t>
  </si>
  <si>
    <t>1.46 M</t>
  </si>
  <si>
    <t>1.62 INR</t>
  </si>
  <si>
    <t>RELTDRavindra Energy Ltd.</t>
  </si>
  <si>
    <t>27.56 B INR</t>
  </si>
  <si>
    <t>147.11 INR</t>
  </si>
  <si>
    <t>−4.21%</t>
  </si>
  <si>
    <t>122.91 K</t>
  </si>
  <si>
    <t>3.84 INR</t>
  </si>
  <si>
    <t>KPELK.P. Energy Ltd.</t>
  </si>
  <si>
    <t>23.6 B INR</t>
  </si>
  <si>
    <t>339.05 INR</t>
  </si>
  <si>
    <t>−3.91%</t>
  </si>
  <si>
    <t>353.62 K</t>
  </si>
  <si>
    <t>19.87 INR</t>
  </si>
  <si>
    <t>UELUjaas Energy Limited</t>
  </si>
  <si>
    <t>20.54 B INR</t>
  </si>
  <si>
    <t>157.66 INR</t>
  </si>
  <si>
    <t>2.85 K</t>
  </si>
  <si>
    <t>0.10 INR</t>
  </si>
  <si>
    <t>−81.92%</t>
  </si>
  <si>
    <t>SUGSLLOYDSugs Lloyd Limited</t>
  </si>
  <si>
    <t>2.81 B INR</t>
  </si>
  <si>
    <t>107.85 INR</t>
  </si>
  <si>
    <t>−10.98%</t>
  </si>
  <si>
    <t>315 K</t>
  </si>
  <si>
    <t>VENLONENTVenlon Enterprises Limited</t>
  </si>
  <si>
    <t>353.68 M INR</t>
  </si>
  <si>
    <t>6.77 INR</t>
  </si>
  <si>
    <t>−2.61 INR</t>
  </si>
  <si>
    <t>−615.88%</t>
  </si>
  <si>
    <t>JAYCHJayshree Chemicals Limited</t>
  </si>
  <si>
    <t>183.58 M INR</t>
  </si>
  <si>
    <t>6.15 INR</t>
  </si>
  <si>
    <t>−1.76%</t>
  </si>
  <si>
    <t>14.26 K</t>
  </si>
  <si>
    <t>GAILGAIL (India) Limited</t>
  </si>
  <si>
    <t>1.12 T INR</t>
  </si>
  <si>
    <t>166.81 INR</t>
  </si>
  <si>
    <t>−1.86%</t>
  </si>
  <si>
    <t>10.88 M</t>
  </si>
  <si>
    <t>16.60 INR</t>
  </si>
  <si>
    <t>−5.42%</t>
  </si>
  <si>
    <t>ATGLAdani Total Gas Ltd.</t>
  </si>
  <si>
    <t>652.08 B INR</t>
  </si>
  <si>
    <t>577.05 INR</t>
  </si>
  <si>
    <t>−2.71%</t>
  </si>
  <si>
    <t>663.92 K</t>
  </si>
  <si>
    <t>5.69 INR</t>
  </si>
  <si>
    <t>−10.87%</t>
  </si>
  <si>
    <t>PETRONETPetronet Lng Limited</t>
  </si>
  <si>
    <t>412.28 B INR</t>
  </si>
  <si>
    <t>270.80 INR</t>
  </si>
  <si>
    <t>−1.46%</t>
  </si>
  <si>
    <t>1.51 M</t>
  </si>
  <si>
    <t>24.46 INR</t>
  </si>
  <si>
    <t>−7.20%</t>
  </si>
  <si>
    <t>GUJGASLTDGujarat Gas Ltd.</t>
  </si>
  <si>
    <t>279.83 B INR</t>
  </si>
  <si>
    <t>400.40 INR</t>
  </si>
  <si>
    <t>−1.51%</t>
  </si>
  <si>
    <t>257.03 K</t>
  </si>
  <si>
    <t>16.22 INR</t>
  </si>
  <si>
    <t>−12.17%</t>
  </si>
  <si>
    <t>IGLIndraprastha Gas Limited</t>
  </si>
  <si>
    <t>268.31 B INR</t>
  </si>
  <si>
    <t>185.02 INR</t>
  </si>
  <si>
    <t>−3.53%</t>
  </si>
  <si>
    <t>1.34 M</t>
  </si>
  <si>
    <t>11.41 INR</t>
  </si>
  <si>
    <t>−13.51%</t>
  </si>
  <si>
    <t>GSPLGujarat State Petronet Limited</t>
  </si>
  <si>
    <t>165.54 B INR</t>
  </si>
  <si>
    <t>290.45 INR</t>
  </si>
  <si>
    <t>−0.97%</t>
  </si>
  <si>
    <t>272.79 K</t>
  </si>
  <si>
    <t>19.69 INR</t>
  </si>
  <si>
    <t>−33.05%</t>
  </si>
  <si>
    <t>MGLMahanagar Gas Ltd</t>
  </si>
  <si>
    <t>115.55 B INR</t>
  </si>
  <si>
    <t>1,122.40 INR</t>
  </si>
  <si>
    <t>−4.07%</t>
  </si>
  <si>
    <t>202.25 K</t>
  </si>
  <si>
    <t>98.96 INR</t>
  </si>
  <si>
    <t>−14.38%</t>
  </si>
  <si>
    <t>RAJGASESRajasthan Gases Ltd.</t>
  </si>
  <si>
    <t>3.31 B INR</t>
  </si>
  <si>
    <t>43.75 INR</t>
  </si>
  <si>
    <t>2.15 K</t>
  </si>
  <si>
    <t>6.62 INR</t>
  </si>
  <si>
    <t>POSITRONPositron Energy Limited</t>
  </si>
  <si>
    <t>1.69 B INR</t>
  </si>
  <si>
    <t>217.90 INR</t>
  </si>
  <si>
    <t>−2.05%</t>
  </si>
  <si>
    <t>28.2 K</t>
  </si>
  <si>
    <t>25.73 INR</t>
  </si>
  <si>
    <t>RUDRAGASRudra Gas Enterprise Ltd.</t>
  </si>
  <si>
    <t>582.41 M INR</t>
  </si>
  <si>
    <t>68.10 INR</t>
  </si>
  <si>
    <t>−2.51%</t>
  </si>
  <si>
    <t>2 K</t>
  </si>
  <si>
    <t>7.80 INR</t>
  </si>
  <si>
    <t>RCCLRajasthan Cylinders &amp; Containers Ltd</t>
  </si>
  <si>
    <t>36.78 INR</t>
  </si>
  <si>
    <t>Neutra</t>
  </si>
  <si>
    <t>−3.94%</t>
  </si>
  <si>
    <t>36 K</t>
  </si>
  <si>
    <t>APEXECOApex Ecotech Ltd.</t>
  </si>
  <si>
    <t>128.95 INR</t>
  </si>
  <si>
    <t>7.27 INR</t>
  </si>
  <si>
    <t>CHIRAHARITChiraharit Limited</t>
  </si>
  <si>
    <t>597.28 M INR</t>
  </si>
  <si>
    <t>10.47 INR</t>
  </si>
  <si>
    <t>.</t>
  </si>
  <si>
    <t>Ticker</t>
  </si>
  <si>
    <t>Agni Green Power Limited</t>
  </si>
  <si>
    <t>KKV Agro Powers Limited</t>
  </si>
  <si>
    <t>SRM Energy Limited</t>
  </si>
  <si>
    <t>Gita Renewable Energy Limited</t>
  </si>
  <si>
    <t>Skyline Ventures India Limited</t>
  </si>
  <si>
    <t>Waa Solar Limited</t>
  </si>
  <si>
    <t>Karma Energy Limited</t>
  </si>
  <si>
    <t>Energy Development Company Limited</t>
  </si>
  <si>
    <t>Indowind Energy Limited</t>
  </si>
  <si>
    <t>EKI Energy Services Limited</t>
  </si>
  <si>
    <t>Madhav Infra Projects Limited</t>
  </si>
  <si>
    <t>India Power Corporation Limited</t>
  </si>
  <si>
    <t>Jyoti Structures Limited</t>
  </si>
  <si>
    <t>Texmaco Infrastructure &amp; Holdings Limited</t>
  </si>
  <si>
    <t>Orient Green Power Company Limited</t>
  </si>
  <si>
    <t>Gujarat Industries Power Company Limited</t>
  </si>
  <si>
    <t>SG Mart Limited</t>
  </si>
  <si>
    <t>Pace Digitek Limited</t>
  </si>
  <si>
    <t>PTC India Limited</t>
  </si>
  <si>
    <t>RattanIndia Power Limited</t>
  </si>
  <si>
    <t>Reliance Infrastructure Limited</t>
  </si>
  <si>
    <t>Jaiprakash Power Ventures Limited</t>
  </si>
  <si>
    <t>Swan Corp Limited</t>
  </si>
  <si>
    <t>Nava Limited</t>
  </si>
  <si>
    <t>CESC Limited</t>
  </si>
  <si>
    <t>SJVN Limited</t>
  </si>
  <si>
    <t>NLC India Limited</t>
  </si>
  <si>
    <t>Torrent Power Limited</t>
  </si>
  <si>
    <t>NHPC Limited</t>
  </si>
  <si>
    <t>JSW Energy Limited</t>
  </si>
  <si>
    <t>Siemens Energy India Limited</t>
  </si>
  <si>
    <t>Adani Energy Solutions Limited</t>
  </si>
  <si>
    <t>Tata Power Company Limited</t>
  </si>
  <si>
    <t>Adani Green Energy Limited</t>
  </si>
  <si>
    <t>Adani Power Limited</t>
  </si>
  <si>
    <t>NTPC Limited</t>
  </si>
  <si>
    <t>Jayshree Chemicals Limited</t>
  </si>
  <si>
    <t>Venlon Enterprises Limited</t>
  </si>
  <si>
    <t>Sugs Lloyd Limited</t>
  </si>
  <si>
    <t>Ujaas Energy Limited</t>
  </si>
  <si>
    <t>K.P. Energy Limited</t>
  </si>
  <si>
    <t>Ravindra Energy Limited</t>
  </si>
  <si>
    <t>Inox Green Energy Services Limited</t>
  </si>
  <si>
    <t>KPI Green Energy Limited</t>
  </si>
  <si>
    <t>Waaree Renewable Technologies Limited</t>
  </si>
  <si>
    <t>Reliance Power Limited</t>
  </si>
  <si>
    <t>NTPC Green Energy Limited</t>
  </si>
  <si>
    <t>Power Grid Corporation of India Limited</t>
  </si>
  <si>
    <t>Apex Ecotech Limited</t>
  </si>
  <si>
    <t>Rajasthan Cylinders and Containers Limited</t>
  </si>
  <si>
    <t>Rudra Gas Enterprise Limited</t>
  </si>
  <si>
    <t>Positron Energy Limited</t>
  </si>
  <si>
    <t>Mahanagar Gas Limited</t>
  </si>
  <si>
    <t>Gujarat State Petronet Limited</t>
  </si>
  <si>
    <t>Indraprastha Gas Limited</t>
  </si>
  <si>
    <t>Gujarat Gas Limited</t>
  </si>
  <si>
    <t>Petronet LNG Limited</t>
  </si>
  <si>
    <t>Adani Total Gas Limited</t>
  </si>
  <si>
    <t>GAIL (India) Limited</t>
  </si>
  <si>
    <t>AGNI</t>
  </si>
  <si>
    <t>KKVAPOW</t>
  </si>
  <si>
    <t>523222</t>
  </si>
  <si>
    <t>539013</t>
  </si>
  <si>
    <t>538919</t>
  </si>
  <si>
    <t>541445</t>
  </si>
  <si>
    <t>533451</t>
  </si>
  <si>
    <t>532219</t>
  </si>
  <si>
    <t>INDOWIND</t>
  </si>
  <si>
    <t>543284</t>
  </si>
  <si>
    <t>539894</t>
  </si>
  <si>
    <t>DPSCLTD</t>
  </si>
  <si>
    <t>JYOTISTRUC</t>
  </si>
  <si>
    <t>505400</t>
  </si>
  <si>
    <t>GREENPOWER</t>
  </si>
  <si>
    <t>GIPCL</t>
  </si>
  <si>
    <t>512329</t>
  </si>
  <si>
    <t>PACEDIGITK</t>
  </si>
  <si>
    <t>PTC</t>
  </si>
  <si>
    <t>533122</t>
  </si>
  <si>
    <t>500390</t>
  </si>
  <si>
    <t>JPPOWER</t>
  </si>
  <si>
    <t>503310</t>
  </si>
  <si>
    <t>513023</t>
  </si>
  <si>
    <t>CESC</t>
  </si>
  <si>
    <t>SJVN</t>
  </si>
  <si>
    <t>513683</t>
  </si>
  <si>
    <t>TORNTPOWER</t>
  </si>
  <si>
    <t>NHPC</t>
  </si>
  <si>
    <t>533148</t>
  </si>
  <si>
    <t>ENRIN</t>
  </si>
  <si>
    <t>ADANIENSOL</t>
  </si>
  <si>
    <t>500400</t>
  </si>
  <si>
    <t>ADANIGREEN</t>
  </si>
  <si>
    <t>ADANIPOWER</t>
  </si>
  <si>
    <t>NTPC</t>
  </si>
  <si>
    <t>506520</t>
  </si>
  <si>
    <t>524038</t>
  </si>
  <si>
    <t>544501</t>
  </si>
  <si>
    <t>UEL</t>
  </si>
  <si>
    <t>539686</t>
  </si>
  <si>
    <t>RELTD</t>
  </si>
  <si>
    <t>INOXGREEN</t>
  </si>
  <si>
    <t>542323</t>
  </si>
  <si>
    <t>534618</t>
  </si>
  <si>
    <t>RPOWER</t>
  </si>
  <si>
    <t>NTPCGREEN</t>
  </si>
  <si>
    <t>POWERGRID</t>
  </si>
  <si>
    <t>APEXECO</t>
  </si>
  <si>
    <t>538707</t>
  </si>
  <si>
    <t>544121</t>
  </si>
  <si>
    <t>POSITRON</t>
  </si>
  <si>
    <t>MGL</t>
  </si>
  <si>
    <t>GSPL</t>
  </si>
  <si>
    <t>IGL</t>
  </si>
  <si>
    <t>GUJGASLTD</t>
  </si>
  <si>
    <t>PETRONET</t>
  </si>
  <si>
    <t>ATGL</t>
  </si>
  <si>
    <t>GAIL</t>
  </si>
  <si>
    <t xml:space="preserve"> Adani Total Gas Ltd.</t>
  </si>
  <si>
    <t xml:space="preserve">GAIL </t>
  </si>
  <si>
    <t>Petronet Lng Limited</t>
  </si>
  <si>
    <t>Gujarat Gas Ltd.</t>
  </si>
  <si>
    <t>Mahanagar Gas Ltd</t>
  </si>
  <si>
    <t>Rajasthan Gases Ltd.</t>
  </si>
  <si>
    <t>RAJGASES</t>
  </si>
  <si>
    <t>Rudra Gas Enterprise Ltd.</t>
  </si>
  <si>
    <t>RUDRAGAS</t>
  </si>
  <si>
    <t>Rajasthan Cylinders &amp; Containers Ltd</t>
  </si>
  <si>
    <t>RCCL</t>
  </si>
  <si>
    <t>Apex Ecotech Ltd.</t>
  </si>
  <si>
    <t>Chiraharit Limited</t>
  </si>
  <si>
    <t>CHIRAHARIT</t>
  </si>
  <si>
    <t>Valuation Score</t>
  </si>
  <si>
    <t>Profitability Score</t>
  </si>
  <si>
    <t>Risk Score</t>
  </si>
  <si>
    <t>(cheap companies score higher)</t>
  </si>
  <si>
    <t>(lower leverage + higher coverage)</t>
  </si>
  <si>
    <t>(dividend focus for utilities)</t>
  </si>
  <si>
    <t>Lower Total Score = Better Company</t>
  </si>
  <si>
    <t>(higher ROE / ROCE / margins = better)</t>
  </si>
  <si>
    <t>Income Score</t>
  </si>
  <si>
    <t xml:space="preserve">Total Score </t>
  </si>
  <si>
    <t>Valuation vs operating earnings → Good: 8–15</t>
  </si>
  <si>
    <t>Price paid per ₹1 profit → Good: 10–25</t>
  </si>
  <si>
    <t>Price vs book value → Good: 1–3</t>
  </si>
  <si>
    <t>Shareholder money efficiency → Good: &gt;15%</t>
  </si>
  <si>
    <t>Capital efficiency (most important) → Good: &gt;12%</t>
  </si>
  <si>
    <t>Debt dependence → Good: &lt;1.5</t>
  </si>
  <si>
    <t>Ability to pay interest → Good: &gt;3</t>
  </si>
  <si>
    <t>Core business profitability → Good: Positive &amp; stable</t>
  </si>
  <si>
    <t>Final profitability → Good: &gt;8%</t>
  </si>
  <si>
    <t>Cash return to shareholders → Good: 1–3% (sustainable)</t>
  </si>
  <si>
    <t>A</t>
  </si>
  <si>
    <t>B</t>
  </si>
  <si>
    <t>D</t>
  </si>
  <si>
    <t>F</t>
  </si>
  <si>
    <t>C</t>
  </si>
  <si>
    <t>E</t>
  </si>
  <si>
    <t>G</t>
  </si>
  <si>
    <t>H</t>
  </si>
  <si>
    <t>I</t>
  </si>
  <si>
    <t>J</t>
  </si>
  <si>
    <t>Filtering as per Column C to L</t>
  </si>
  <si>
    <t>Segment</t>
  </si>
  <si>
    <t>Fuel / Business</t>
  </si>
  <si>
    <t>PPA / Contract</t>
  </si>
  <si>
    <t>Revenue Stability</t>
  </si>
  <si>
    <t>Key Risk</t>
  </si>
  <si>
    <t>SEB / Client Exposure</t>
  </si>
  <si>
    <t>Utility Type</t>
  </si>
  <si>
    <t>Remarks</t>
  </si>
  <si>
    <t>Power Transmission</t>
  </si>
  <si>
    <t>Transmission</t>
  </si>
  <si>
    <t>Regulated</t>
  </si>
  <si>
    <t>Very High</t>
  </si>
  <si>
    <t>Minimal</t>
  </si>
  <si>
    <t>Low</t>
  </si>
  <si>
    <t>Core Utility</t>
  </si>
  <si>
    <t>Regulated returns</t>
  </si>
  <si>
    <t>City Gas Distribution</t>
  </si>
  <si>
    <t>Natural Gas</t>
  </si>
  <si>
    <t>Regulated CGD</t>
  </si>
  <si>
    <t>High</t>
  </si>
  <si>
    <t>Valuation</t>
  </si>
  <si>
    <t>Stable gas utility</t>
  </si>
  <si>
    <t>Environmental Services</t>
  </si>
  <si>
    <t>Waste</t>
  </si>
  <si>
    <t>Project-based</t>
  </si>
  <si>
    <t>Execution risk</t>
  </si>
  <si>
    <t>EPC</t>
  </si>
  <si>
    <t>Non-core utility</t>
  </si>
  <si>
    <t>Power Distribution</t>
  </si>
  <si>
    <t>Coal</t>
  </si>
  <si>
    <t>PPAs</t>
  </si>
  <si>
    <t>Regulatory</t>
  </si>
  <si>
    <t>Gas Transmission</t>
  </si>
  <si>
    <t>Long-term contracts</t>
  </si>
  <si>
    <t>Gas policy</t>
  </si>
  <si>
    <t>Gas sourcing</t>
  </si>
  <si>
    <t>Gas demand</t>
  </si>
  <si>
    <t>Gas price</t>
  </si>
  <si>
    <t>Industrial</t>
  </si>
  <si>
    <t>Chemicals</t>
  </si>
  <si>
    <t>NA</t>
  </si>
  <si>
    <t>Non-Utility</t>
  </si>
  <si>
    <t>Transmission EPC</t>
  </si>
  <si>
    <t>Debt stress</t>
  </si>
  <si>
    <t>Infrastructure / EPC</t>
  </si>
  <si>
    <t>Infra</t>
  </si>
  <si>
    <t>Gas price regulation</t>
  </si>
  <si>
    <t>Power Generation</t>
  </si>
  <si>
    <t>Medium</t>
  </si>
  <si>
    <t>Fuel risk</t>
  </si>
  <si>
    <t>Power + Mining</t>
  </si>
  <si>
    <t>Lignite</t>
  </si>
  <si>
    <t>Environmental norms</t>
  </si>
  <si>
    <t>Power Infra Services</t>
  </si>
  <si>
    <t>Order flow</t>
  </si>
  <si>
    <t>LNG Regasification</t>
  </si>
  <si>
    <t>LNG</t>
  </si>
  <si>
    <t>Take-or-pay</t>
  </si>
  <si>
    <t>Global LNG prices</t>
  </si>
  <si>
    <t>Power Trading</t>
  </si>
  <si>
    <t>Power trading</t>
  </si>
  <si>
    <t>Short/Long-term contracts</t>
  </si>
  <si>
    <t>Counterparty risk</t>
  </si>
  <si>
    <t>Cylinders</t>
  </si>
  <si>
    <t>Non-utility</t>
  </si>
  <si>
    <t>Power Distribution / EPC</t>
  </si>
  <si>
    <t>Coal / Infra</t>
  </si>
  <si>
    <t>PPAs &amp; EPC</t>
  </si>
  <si>
    <t>High debt, regulatory</t>
  </si>
  <si>
    <t>Gas Trading</t>
  </si>
  <si>
    <t>Trading</t>
  </si>
  <si>
    <t>Scale risk</t>
  </si>
  <si>
    <t>Energy Trading</t>
  </si>
  <si>
    <t>Power/Gas</t>
  </si>
  <si>
    <t>Volume risk</t>
  </si>
  <si>
    <t>Service</t>
  </si>
  <si>
    <t>Non-core</t>
  </si>
  <si>
    <t>Financial stress</t>
  </si>
  <si>
    <t>Energy &amp; Infra</t>
  </si>
  <si>
    <t>Gas / Infra</t>
  </si>
  <si>
    <t>Contracts</t>
  </si>
  <si>
    <t>Diversification risk</t>
  </si>
  <si>
    <t>Infra &amp; Rail</t>
  </si>
  <si>
    <t>Cyclicality</t>
  </si>
  <si>
    <t>Renewable Power</t>
  </si>
  <si>
    <t>Wind</t>
  </si>
  <si>
    <t>Wind risk</t>
  </si>
  <si>
    <t>Solar/Wind</t>
  </si>
  <si>
    <t>High valuation</t>
  </si>
  <si>
    <t>Renewable focused</t>
  </si>
  <si>
    <t>Imported Coal</t>
  </si>
  <si>
    <t>Fuel price risk</t>
  </si>
  <si>
    <t>Generation business</t>
  </si>
  <si>
    <t>Solar</t>
  </si>
  <si>
    <t>Scale</t>
  </si>
  <si>
    <t>Carbon Advisory</t>
  </si>
  <si>
    <t>Carbon credits</t>
  </si>
  <si>
    <t>Service contracts</t>
  </si>
  <si>
    <t>Market volatility</t>
  </si>
  <si>
    <t>Renewable</t>
  </si>
  <si>
    <t>Project scale</t>
  </si>
  <si>
    <t>Coal/Gas</t>
  </si>
  <si>
    <t>State exposure</t>
  </si>
  <si>
    <t>SEB risk</t>
  </si>
  <si>
    <t>Low scale</t>
  </si>
  <si>
    <t>Renewable O&amp;M</t>
  </si>
  <si>
    <t>Client concentration</t>
  </si>
  <si>
    <t>Coal &amp; Hydro</t>
  </si>
  <si>
    <t>Coal/Renewable</t>
  </si>
  <si>
    <t>Fuel transition</t>
  </si>
  <si>
    <t>Renewable Infra</t>
  </si>
  <si>
    <t>Policy risk</t>
  </si>
  <si>
    <t>Biomass</t>
  </si>
  <si>
    <t>Fuel availability</t>
  </si>
  <si>
    <t>Hydro Power</t>
  </si>
  <si>
    <t>Hydro</t>
  </si>
  <si>
    <t>Long-term PPAs</t>
  </si>
  <si>
    <t>Hydrology</t>
  </si>
  <si>
    <t>Coal &amp; Renewables</t>
  </si>
  <si>
    <t>Wind variability</t>
  </si>
  <si>
    <t>Trading contracts</t>
  </si>
  <si>
    <t>Price volatility</t>
  </si>
  <si>
    <t>High leverage, stressed</t>
  </si>
  <si>
    <t>Financial</t>
  </si>
  <si>
    <t>Debt, stalled projects</t>
  </si>
  <si>
    <t>Power Equipment</t>
  </si>
  <si>
    <t>Equipment</t>
  </si>
  <si>
    <t>Order-based</t>
  </si>
  <si>
    <t>Order cycle</t>
  </si>
  <si>
    <t>Hydro &amp; Renewable</t>
  </si>
  <si>
    <t>Hydro/Solar</t>
  </si>
  <si>
    <t>Power</t>
  </si>
  <si>
    <t>Integrated Power</t>
  </si>
  <si>
    <t>Capex heavy</t>
  </si>
  <si>
    <t>Power Gen &amp; Dist</t>
  </si>
  <si>
    <t>Gas/Coal</t>
  </si>
  <si>
    <t>Fuel cost</t>
  </si>
  <si>
    <t>Small scale</t>
  </si>
  <si>
    <t>Renewable EPC</t>
  </si>
  <si>
    <t>Execution</t>
  </si>
  <si>
    <t>Selection (Rank)</t>
  </si>
  <si>
    <t>All ratios calculated using standard formulas</t>
  </si>
  <si>
    <t>Conditional formatting (Green = good, Red = bad)</t>
  </si>
  <si>
    <t>List of Companies Covered – Utilities Sector</t>
  </si>
  <si>
    <t>Coverage includes Power, Gas, LNG, Renewable Utilities</t>
  </si>
  <si>
    <t>Company Name</t>
  </si>
  <si>
    <t>NTPCNTPC Limtied</t>
  </si>
  <si>
    <t>Utilities Sector Overview – India</t>
  </si>
  <si>
    <t>Prepared for Investment Research Purposes</t>
  </si>
  <si>
    <r>
      <rPr>
        <b/>
        <i/>
        <u/>
        <sz val="14"/>
        <color theme="1"/>
        <rFont val="Calibri"/>
        <family val="2"/>
        <scheme val="minor"/>
      </rPr>
      <t>Raw Financial Data</t>
    </r>
    <r>
      <rPr>
        <i/>
        <u/>
        <sz val="14"/>
        <color theme="1"/>
        <rFont val="Calibri"/>
        <family val="2"/>
        <scheme val="minor"/>
      </rPr>
      <t xml:space="preserve"> – Utilities Sector</t>
    </r>
  </si>
  <si>
    <r>
      <rPr>
        <b/>
        <i/>
        <u/>
        <sz val="14"/>
        <color theme="1"/>
        <rFont val="Calibri"/>
        <family val="2"/>
        <scheme val="minor"/>
      </rPr>
      <t>Financials:</t>
    </r>
    <r>
      <rPr>
        <i/>
        <u/>
        <sz val="14"/>
        <color theme="1"/>
        <rFont val="Calibri"/>
        <family val="2"/>
        <scheme val="minor"/>
      </rPr>
      <t xml:space="preserve"> FY2025 or latest available  , Market Data as on: 13 / 12 / 2025</t>
    </r>
  </si>
  <si>
    <r>
      <rPr>
        <b/>
        <i/>
        <u/>
        <sz val="14"/>
        <color theme="1"/>
        <rFont val="Calibri"/>
        <family val="2"/>
        <scheme val="minor"/>
      </rPr>
      <t>Currency</t>
    </r>
    <r>
      <rPr>
        <i/>
        <u/>
        <sz val="14"/>
        <color theme="1"/>
        <rFont val="Calibri"/>
        <family val="2"/>
        <scheme val="minor"/>
      </rPr>
      <t xml:space="preserve">: INR , </t>
    </r>
    <r>
      <rPr>
        <b/>
        <i/>
        <u/>
        <sz val="14"/>
        <color theme="1"/>
        <rFont val="Calibri"/>
        <family val="2"/>
        <scheme val="minor"/>
      </rPr>
      <t>Amounts</t>
    </r>
    <r>
      <rPr>
        <i/>
        <u/>
        <sz val="14"/>
        <color theme="1"/>
        <rFont val="Calibri"/>
        <family val="2"/>
        <scheme val="minor"/>
      </rPr>
      <t xml:space="preserve"> in ₹ Crores , Shares in Crores</t>
    </r>
  </si>
  <si>
    <r>
      <rPr>
        <b/>
        <i/>
        <u/>
        <sz val="14"/>
        <color theme="1"/>
        <rFont val="Calibri"/>
        <family val="2"/>
        <scheme val="minor"/>
      </rPr>
      <t>Sources:</t>
    </r>
    <r>
      <rPr>
        <i/>
        <u/>
        <sz val="14"/>
        <color theme="1"/>
        <rFont val="Calibri"/>
        <family val="2"/>
        <scheme val="minor"/>
      </rPr>
      <t xml:space="preserve"> Annual Reports , Screener , Moneycontrol , NSE/BSE</t>
    </r>
  </si>
  <si>
    <r>
      <rPr>
        <b/>
        <i/>
        <u/>
        <sz val="14"/>
        <color theme="1"/>
        <rFont val="Calibri"/>
        <family val="2"/>
        <scheme val="minor"/>
      </rPr>
      <t xml:space="preserve">Key Financial Ratios </t>
    </r>
    <r>
      <rPr>
        <i/>
        <u/>
        <sz val="14"/>
        <color theme="1"/>
        <rFont val="Calibri"/>
        <family val="2"/>
        <scheme val="minor"/>
      </rPr>
      <t>– Utilities Sector</t>
    </r>
  </si>
  <si>
    <r>
      <rPr>
        <b/>
        <i/>
        <u/>
        <sz val="14"/>
        <color theme="1"/>
        <rFont val="Calibri"/>
        <family val="2"/>
        <scheme val="minor"/>
      </rPr>
      <t>Derived from Raw Data</t>
    </r>
    <r>
      <rPr>
        <i/>
        <u/>
        <sz val="14"/>
        <color theme="1"/>
        <rFont val="Calibri"/>
        <family val="2"/>
        <scheme val="minor"/>
      </rPr>
      <t xml:space="preserve"> - Financial Year: FY2025</t>
    </r>
  </si>
  <si>
    <r>
      <t>Electric Utilities –</t>
    </r>
    <r>
      <rPr>
        <b/>
        <sz val="11"/>
        <color theme="1"/>
        <rFont val="Calibri"/>
        <family val="2"/>
        <scheme val="minor"/>
      </rPr>
      <t xml:space="preserve"> Company Snapshot</t>
    </r>
  </si>
  <si>
    <t>Includes Generation, Transmission &amp; Distribution Companies</t>
  </si>
  <si>
    <t xml:space="preserve">Gas Distribution Companies –  Company Snapshot </t>
  </si>
  <si>
    <t>CGD &amp; Gas Transmission Companies</t>
  </si>
  <si>
    <t>Water Utilities – Limited Coverage</t>
  </si>
  <si>
    <t>Data availability constrained due to fewer listed players</t>
  </si>
  <si>
    <t>Renewable &amp; Alternative Power Companies</t>
  </si>
  <si>
    <t>Solar, Wind, Hybrid Power Producers</t>
  </si>
  <si>
    <t>The Utilities sector includes companies engaged in generation, transmission, and distribution of essential services such as electricity, gas, LNG, and water. These services are critical for economic activity and daily consumption.</t>
  </si>
  <si>
    <t xml:space="preserve">• Electric Utilities – Power generation, transmission &amp; distribution  </t>
  </si>
  <si>
    <t xml:space="preserve">• Gas Utilities – City gas distribution, pipelines  </t>
  </si>
  <si>
    <t xml:space="preserve">• LNG Utilities – Import, regasification, transmission  </t>
  </si>
  <si>
    <t xml:space="preserve">• Renewable Utilities – Solar, wind, hybrid power producers  </t>
  </si>
  <si>
    <t>• Water Utilities – Water supply &amp; treatment (limited listed players)</t>
  </si>
  <si>
    <t xml:space="preserve">• Power purchase agreements (PPAs)  </t>
  </si>
  <si>
    <t xml:space="preserve">• Regulated tariffs approved by government bodies  </t>
  </si>
  <si>
    <t xml:space="preserve">• Volume growth (electricity/gas demand)  </t>
  </si>
  <si>
    <t xml:space="preserve">• Capacity addition and utilization  </t>
  </si>
  <si>
    <t>• Industrial, commercial, and household consumption</t>
  </si>
  <si>
    <t>Utilities Sector – Business Model, Contract Structure &amp; Risk Classification</t>
  </si>
  <si>
    <t>Source: Company Annual Reports, Investor Presentations, Regulatory Filings (PNGRB/CERC/SERC), Business Descriptions from Screener, Moneycontrol &amp; Company Websites</t>
  </si>
  <si>
    <t>Company business description (Annual Report / Screener)</t>
  </si>
  <si>
    <t>Fuel mix disclosed in AR / Investor PPT</t>
  </si>
  <si>
    <t>PPAs, CGD regulation, take-or-pay contracts</t>
  </si>
  <si>
    <t>Derived from contract nature</t>
  </si>
  <si>
    <t>Derived from sector + balance sheet reality</t>
  </si>
  <si>
    <t>Exposure to DISCOMs / Govt / private clients</t>
  </si>
  <si>
    <t>Core vs Non-core based on essential utility definition</t>
  </si>
  <si>
    <t>Analyst conclusion (final takeaway)</t>
  </si>
  <si>
    <t>Condition</t>
  </si>
  <si>
    <t>Remark</t>
  </si>
  <si>
    <t>Regulated / PPAs / Essential service</t>
  </si>
  <si>
    <t>Stable utility</t>
  </si>
  <si>
    <t>Power generation under PPAs</t>
  </si>
  <si>
    <t>EPC / Trading / Infra</t>
  </si>
  <si>
    <t>Renewables + PPAs</t>
  </si>
  <si>
    <t>Execution-heavy infra</t>
  </si>
  <si>
    <t>Below is the remark rule is used for the companies</t>
  </si>
  <si>
    <t>City Gas Distribution (Adani Total Gas, IGL, MGL, Gujarat Gas)</t>
  </si>
  <si>
    <t>Examples:</t>
  </si>
  <si>
    <t>Gas Transmission (GAIL, GSPL, GSPC)</t>
  </si>
  <si>
    <t>Hydro &amp; PSU Generators (NHPC, SJVN, NTPC)</t>
  </si>
  <si>
    <t>Regulated CGD companies with predictable volumes and tariff protection.
High revenue stability with low SEB exposure and gas price risk as key variable.
Remarks logic:"Stable gas utility" because regulation + annuity-like cash flows.</t>
  </si>
  <si>
    <t>Operate regulated pipelines with long-term contracts and assured returns.
Minimal volume risk and high revenue visibility.
Remarks: "Stable gas utility" / "Regulated returns".</t>
  </si>
  <si>
    <t>Power sold under long-term PPAs with state utilities.
Very high revenue stability but exposed to hydrology or SEB payment delays.
Remkars: "Generation Business" (core utility)</t>
  </si>
  <si>
    <t>Thermal Power Generators (Adani Power, JSW Energy, RattanIndia)</t>
  </si>
  <si>
    <t>Coal-based power producers operating under PPAs.
Exposed to fuel price volatility, leverage, and regulatory risk.
Remarks: "Generation business"  (risk varies by balance sheet).</t>
  </si>
  <si>
    <t>Renewable Power Producers (KPI, Waaree, Inox Green, Gita Renewable, NTPC Green)</t>
  </si>
  <si>
    <t>EPC / Infra / Trading Companies (Sugs Lloyd, Texmaco, PTC India, SG Mart)</t>
  </si>
  <si>
    <t>Non-Utility Industrials (Rajasthan Cylinders, Jayshree Chemicals)</t>
  </si>
  <si>
    <t>Manufacturing/industrial businesses not directly linked to utility services.
Revenue depends on industrial demand cycles.
Remarks: Non Utility</t>
  </si>
  <si>
    <t>Project-based EPC or trading-led businesses with limited revenue visibility.
Higher execution risk (for EPC), counterparty risk (for trading), and cyclicality compared to core utilities.
Remarks: Non-core utility</t>
  </si>
  <si>
    <t>Solar/wind power producers operating under long-term PPAs ensuring predictable revenues.
Key risks include policy changes, resource variability, DISCOM counterparty risk, and scaling constraints.
Remarks: "Renewable focused"</t>
  </si>
  <si>
    <t>Parameter</t>
  </si>
  <si>
    <t>Sector Nature</t>
  </si>
  <si>
    <t>Regulated, capital-intensive sector with long asset life</t>
  </si>
  <si>
    <t>Revenue Model</t>
  </si>
  <si>
    <t>Revenues largely secured through long-term Power Purchase Agreements (PPAs)</t>
  </si>
  <si>
    <t>Demand Visibility</t>
  </si>
  <si>
    <t>Electricity demand is non-discretionary and grows with GDP</t>
  </si>
  <si>
    <t>Cost Structure</t>
  </si>
  <si>
    <t>Fuel cost is the largest variable expense</t>
  </si>
  <si>
    <t>Key Fuel Sources</t>
  </si>
  <si>
    <t>Coal, Gas, Hydro, Renewables</t>
  </si>
  <si>
    <t>Fuel Risk</t>
  </si>
  <si>
    <t>Imported fuel exposes companies to price volatility</t>
  </si>
  <si>
    <t>Role of PPAs</t>
  </si>
  <si>
    <t>PPAs provide tariff certainty and reduce demand risk</t>
  </si>
  <si>
    <t>Counterparty Risk</t>
  </si>
  <si>
    <t>State Electricity Boards (SEBs) are key buyers of power</t>
  </si>
  <si>
    <t>SEB Financial Health</t>
  </si>
  <si>
    <t>Weak SEB finances can lead to payment delays</t>
  </si>
  <si>
    <t>Regulatory Environment</t>
  </si>
  <si>
    <t>Returns influenced by government policies and tariff regulations</t>
  </si>
  <si>
    <t>Key Growth Drivers</t>
  </si>
  <si>
    <t>Power demand growth, renewable energy transition</t>
  </si>
  <si>
    <t>Key Risks</t>
  </si>
  <si>
    <t>Fuel price volatility, SEB payment delays, regulatory changes</t>
  </si>
  <si>
    <t>Investor Suitability</t>
  </si>
  <si>
    <t>Suitable for long-term, defensive investors</t>
  </si>
  <si>
    <t>Utilities Sector - Key Insights</t>
  </si>
  <si>
    <r>
      <rPr>
        <b/>
        <sz val="11"/>
        <color theme="1"/>
        <rFont val="Calibri"/>
        <family val="2"/>
        <scheme val="minor"/>
      </rPr>
      <t>Investment Interpretation:</t>
    </r>
    <r>
      <rPr>
        <sz val="11"/>
        <color theme="1"/>
        <rFont val="Calibri"/>
        <family val="2"/>
        <scheme val="minor"/>
      </rPr>
      <t xml:space="preserve"> Utilities offer stable cash flows with moderate returns. Companies with strong PPAs, low fuel risk, and sound balance sheets are better positioned for long-term investment.</t>
    </r>
  </si>
  <si>
    <t>Primary Fuel Source</t>
  </si>
  <si>
    <t>Domestic / Imported</t>
  </si>
  <si>
    <t>Fuel Risk Level</t>
  </si>
  <si>
    <t>Key Comment</t>
  </si>
  <si>
    <t>Domestic</t>
  </si>
  <si>
    <t>Assured domestic coal linkage and long-term PPAs</t>
  </si>
  <si>
    <t>NA (Transmission)</t>
  </si>
  <si>
    <t>No fuel risk due to transmission business</t>
  </si>
  <si>
    <t>Mixed</t>
  </si>
  <si>
    <t>Earnings sensitive to domestic and LNG prices</t>
  </si>
  <si>
    <t>Imported</t>
  </si>
  <si>
    <t>Long-term LNG contracts mitigate price volatility</t>
  </si>
  <si>
    <t>Cost pass-through allowed under regulatory framework</t>
  </si>
  <si>
    <t>Industrial demand sensitive to gas prices</t>
  </si>
  <si>
    <t>Regulated gas transmission business</t>
  </si>
  <si>
    <t>Hydropower</t>
  </si>
  <si>
    <t>No fuel cost; dependent on hydrology</t>
  </si>
  <si>
    <t>Hydropower / Renewable</t>
  </si>
  <si>
    <t>Renewable-heavy portfolio with minimal fuel risk</t>
  </si>
  <si>
    <t>Partial exposure to imported coal</t>
  </si>
  <si>
    <t>Fuel Source Analysis</t>
  </si>
  <si>
    <t>Project Pipeline &amp; Visibility</t>
  </si>
  <si>
    <t>Installed Capacity (Approx.)</t>
  </si>
  <si>
    <t>Projects Under Construction</t>
  </si>
  <si>
    <t>PPA Secured for New Projects</t>
  </si>
  <si>
    <t>Approval / Clearance Status</t>
  </si>
  <si>
    <t>Visibility Comment</t>
  </si>
  <si>
    <t>~75 GW</t>
  </si>
  <si>
    <t>Yes</t>
  </si>
  <si>
    <t>Approved</t>
  </si>
  <si>
    <t>Strong long-term capacity addition with secured PPAs</t>
  </si>
  <si>
    <t>Transmission Network (Pan-India)</t>
  </si>
  <si>
    <t>Continuous capex backed by regulated returns</t>
  </si>
  <si>
    <t>Gas Transmission Network</t>
  </si>
  <si>
    <t>Expansion aligned with gas infrastructure growth</t>
  </si>
  <si>
    <t>LNG Terminals</t>
  </si>
  <si>
    <t>Capacity expansion supported by long-term contracts</t>
  </si>
  <si>
    <t>CG Distribution Network</t>
  </si>
  <si>
    <t>Limited</t>
  </si>
  <si>
    <t>Growth driven by city gas network expansion</t>
  </si>
  <si>
    <t>Expansion in industrial and residential segments</t>
  </si>
  <si>
    <t>Gas Pipeline Network</t>
  </si>
  <si>
    <t>Steady pipeline expansion within regulated framework</t>
  </si>
  <si>
    <t>~7 GW</t>
  </si>
  <si>
    <t>Partially Approved</t>
  </si>
  <si>
    <t>Execution dependent on project clearances</t>
  </si>
  <si>
    <t>~2 GW</t>
  </si>
  <si>
    <t>Aggressive expansion with execution risk</t>
  </si>
  <si>
    <t>~3 GW</t>
  </si>
  <si>
    <t>Limited growth outside core geography</t>
  </si>
  <si>
    <t>SEB Financial Health Summary</t>
  </si>
  <si>
    <t>Current Status</t>
  </si>
  <si>
    <t>Impact on Utilities Sector</t>
  </si>
  <si>
    <t>Overall SEB Financial Position</t>
  </si>
  <si>
    <t>Weak</t>
  </si>
  <si>
    <t>High accumulated losses impact timely payments</t>
  </si>
  <si>
    <t>Payment Delay Trend</t>
  </si>
  <si>
    <t>Common</t>
  </si>
  <si>
    <t>Causes cash flow timing issues for generators</t>
  </si>
  <si>
    <t>Government Support</t>
  </si>
  <si>
    <t>Ongoing</t>
  </si>
  <si>
    <t>State and central support reduces default risk</t>
  </si>
  <si>
    <t>Tariff Recovery</t>
  </si>
  <si>
    <t>Partial</t>
  </si>
  <si>
    <t>Not all costs are fully passed through</t>
  </si>
  <si>
    <t>Impact on Regulated Utilities</t>
  </si>
  <si>
    <t>Manageable</t>
  </si>
  <si>
    <t>Regulated returns provide some protection</t>
  </si>
  <si>
    <t>Impact on Merchant Power</t>
  </si>
  <si>
    <t>High Risk</t>
  </si>
  <si>
    <t>Higher exposure to delayed receivables</t>
  </si>
  <si>
    <t>Recent Reforms (UDAY, RDSS)</t>
  </si>
  <si>
    <t>In Progress</t>
  </si>
  <si>
    <t>Aimed at improving operational efficiency</t>
  </si>
  <si>
    <t>Overall Risk Assessment</t>
  </si>
  <si>
    <t>SEB risk remains a structural concern</t>
  </si>
  <si>
    <t>Company Risk Profile</t>
  </si>
  <si>
    <t>PPA Strength</t>
  </si>
  <si>
    <t>SEB Exposure</t>
  </si>
  <si>
    <t>Balance Sheet Risk</t>
  </si>
  <si>
    <t>Overall Risk Profile</t>
  </si>
  <si>
    <t>Very Low</t>
  </si>
  <si>
    <t>Medium–High</t>
  </si>
  <si>
    <t>Investment Recommendation Summary</t>
  </si>
  <si>
    <t>Investment Category</t>
  </si>
  <si>
    <t>Key Investment Rationale</t>
  </si>
  <si>
    <t>BUY</t>
  </si>
  <si>
    <t>Stable long-term PPAs, domestic fuel security, predictable cash flows</t>
  </si>
  <si>
    <t>Regulated monopoly transmission business with very low risk</t>
  </si>
  <si>
    <t>High ROE, low leverage, monopoly city gas distribution model</t>
  </si>
  <si>
    <t>HOLD</t>
  </si>
  <si>
    <t>Diversified gas business with exposure to LNG price volatility</t>
  </si>
  <si>
    <t>Strong margins supported by long-term contracts, demand-linked risk</t>
  </si>
  <si>
    <t>Growth potential offset by industrial demand cyclicality</t>
  </si>
  <si>
    <t>Stable regulated returns with limited expansion upside</t>
  </si>
  <si>
    <t>AVOID</t>
  </si>
  <si>
    <t>Execution delays and capped regulated returns limit upside</t>
  </si>
  <si>
    <t>Aggressive expansion increases leverage and execution risk</t>
  </si>
  <si>
    <t>Regional concentration and limited growth visibility</t>
  </si>
  <si>
    <t>Weak Financials</t>
  </si>
  <si>
    <t>Financial Stress</t>
  </si>
  <si>
    <t>Non-Core Utility</t>
  </si>
  <si>
    <t>Execution &amp; Valuation Risk</t>
  </si>
  <si>
    <t>EPC-Oriented</t>
  </si>
  <si>
    <t>Weak Profitability</t>
  </si>
  <si>
    <t>Debt &amp; Complexity</t>
  </si>
  <si>
    <t>Execution Risk</t>
  </si>
  <si>
    <t>Excluded Companies – Screening Rationale</t>
  </si>
  <si>
    <t>Screening Category</t>
  </si>
  <si>
    <t>Approx. Number</t>
  </si>
  <si>
    <t>Key Reason</t>
  </si>
  <si>
    <t>Very Small / Illiquid Utilities</t>
  </si>
  <si>
    <t>~12</t>
  </si>
  <si>
    <t>Insufficient scale for investment</t>
  </si>
  <si>
    <t>Early-Stage Renewable Players</t>
  </si>
  <si>
    <t>~8</t>
  </si>
  <si>
    <t>Execution and earnings visibility risk</t>
  </si>
  <si>
    <t>Holding / Mixed Businesses</t>
  </si>
  <si>
    <t>~6</t>
  </si>
  <si>
    <t>Non-core utility exposure</t>
  </si>
  <si>
    <t>Limited Disclosure Companies</t>
  </si>
  <si>
    <t>~4</t>
  </si>
  <si>
    <t>Insufficient public financial data</t>
  </si>
  <si>
    <t>Initial Screening &amp; Remaining Remaining Companies – Preliminary Screening</t>
  </si>
  <si>
    <t>Small Renewable Player</t>
  </si>
  <si>
    <t>Non-Utility Business</t>
  </si>
  <si>
    <t>Mixed Business Model</t>
  </si>
  <si>
    <t>Non-Utility Manufacturing</t>
  </si>
  <si>
    <t>Reason for Not Shortlisted</t>
  </si>
  <si>
    <t>Micro Renewable Player</t>
  </si>
  <si>
    <t>Diversified Group</t>
  </si>
  <si>
    <t>Low Growth Utility</t>
  </si>
  <si>
    <t>Renewable EPC Small Caps</t>
  </si>
  <si>
    <t>Project SPV Utilities</t>
  </si>
  <si>
    <t>Merchant Power Small Caps</t>
  </si>
  <si>
    <t>Energy Trading Microcaps</t>
  </si>
  <si>
    <t>Miscellaneous Energy Firms</t>
  </si>
  <si>
    <t>Persistent losses, weak balance sheet, and lack of cash flow visibility</t>
  </si>
  <si>
    <t>High Leverage</t>
  </si>
  <si>
    <t>High debt levels with volatile earnings and refinancing risk</t>
  </si>
  <si>
    <t>Fuel &amp; Regulatory Risk</t>
  </si>
  <si>
    <t>High dependence on imported coal leading to margin and regulatory risk</t>
  </si>
  <si>
    <t>Stressed balance sheet with high leverage and weak profitability</t>
  </si>
  <si>
    <t>Highly leveraged structure with complex and non-transparent operations</t>
  </si>
  <si>
    <t>Consistent losses and stressed financial position</t>
  </si>
  <si>
    <t>EPC-focused business with limited ownership of utility assets</t>
  </si>
  <si>
    <t>EPC-Driven Model</t>
  </si>
  <si>
    <t>Revenue dependent on project execution rather than long-term PPAs</t>
  </si>
  <si>
    <t>Earnings volatility due to execution-heavy growth and high valuation</t>
  </si>
  <si>
    <t>Weak Returns</t>
  </si>
  <si>
    <t>Low ROE and inconsistent profitability in renewable operations</t>
  </si>
  <si>
    <t>Small Scale</t>
  </si>
  <si>
    <t>Low operating scale with unstable margins</t>
  </si>
  <si>
    <t>Carbon credit services model, not a utility asset owner</t>
  </si>
  <si>
    <t>Holding Structure</t>
  </si>
  <si>
    <t>Holding-type company with limited operating utility assets</t>
  </si>
  <si>
    <t>Diversified Infra</t>
  </si>
  <si>
    <t>Diversified infrastructure exposure; utilities not a core segment</t>
  </si>
  <si>
    <t>EPC Focus</t>
  </si>
  <si>
    <t>Infrastructure EPC business, not a regulated utility operator</t>
  </si>
  <si>
    <t>Project Risk</t>
  </si>
  <si>
    <t>Project-based renewable business with volatile cash flows</t>
  </si>
  <si>
    <t>Micro-Cap</t>
  </si>
  <si>
    <t>Very small scale, low liquidity, and limited disclosures</t>
  </si>
  <si>
    <t>Early Stage</t>
  </si>
  <si>
    <t>Limited operating history and low scale gas trading business</t>
  </si>
  <si>
    <t>Low Scale</t>
  </si>
  <si>
    <t>Small gas trading operations with limited financial visibility</t>
  </si>
  <si>
    <t>Limited size and inconsistent operating performance</t>
  </si>
  <si>
    <t>Regional Utility</t>
  </si>
  <si>
    <t>Region-specific operations with limited scale and liquidity</t>
  </si>
  <si>
    <t>Very small renewable capacity and limited financial visibility</t>
  </si>
  <si>
    <t>IT and digital services company, not part of utilities sector</t>
  </si>
  <si>
    <t>Non-Utility Core</t>
  </si>
  <si>
    <t>Chemicals manufacturing business with no meaningful utility exposure</t>
  </si>
  <si>
    <t>Diversified operations where utilities are not the main value driver</t>
  </si>
  <si>
    <t>Power business is a small part of a diversified group</t>
  </si>
  <si>
    <t>Limited growth visibility and moderate return profile</t>
  </si>
  <si>
    <t>Early-Stage Renewable</t>
  </si>
  <si>
    <t>Aggressive expansion phase with execution and funding risk</t>
  </si>
  <si>
    <t>Industrial manufacturing business, not utilities</t>
  </si>
  <si>
    <t>Valuation Consideration</t>
  </si>
  <si>
    <t>Strong business but valuation less attractive relative to peers</t>
  </si>
  <si>
    <t>Energy Development Corp – Regional Assets</t>
  </si>
  <si>
    <t>Small Utility Assets</t>
  </si>
  <si>
    <t>Sub-scale assets with limited investor relevance</t>
  </si>
  <si>
    <t>Small Wind Power Operators</t>
  </si>
  <si>
    <t>Low capacity and volatile earnings profile</t>
  </si>
  <si>
    <t>Micro Solar Developers</t>
  </si>
  <si>
    <t>Early-stage projects with limited operating history</t>
  </si>
  <si>
    <t>Regional Transmission Utilities</t>
  </si>
  <si>
    <t>Regional Infrastructure</t>
  </si>
  <si>
    <t>Small asset base and limited expansion potential</t>
  </si>
  <si>
    <t>Small Hydro Power Companies</t>
  </si>
  <si>
    <t>Project execution and hydrology-related risks</t>
  </si>
  <si>
    <t>Model driven by execution rather than long-term asset ownership</t>
  </si>
  <si>
    <t>Energy Holding Companies</t>
  </si>
  <si>
    <t>Indirect exposure to utilities through subsidiaries</t>
  </si>
  <si>
    <t>SPV Structure</t>
  </si>
  <si>
    <t>Single-project SPVs with low liquidity and scale</t>
  </si>
  <si>
    <t>High Earnings Volatility</t>
  </si>
  <si>
    <t>Merchant exposure leads to unstable cash flows</t>
  </si>
  <si>
    <t>Thin Margin Model</t>
  </si>
  <si>
    <t>Low margin trading businesses with limited scalability</t>
  </si>
  <si>
    <t>Waste-to-Energy Small Players</t>
  </si>
  <si>
    <t>Policy Risk</t>
  </si>
  <si>
    <t>Dependent on policy support and execution success</t>
  </si>
  <si>
    <t>Biomass Power Companies</t>
  </si>
  <si>
    <t>Fuel Supply Risk</t>
  </si>
  <si>
    <t>Feedstock availability and price risk</t>
  </si>
  <si>
    <t>Unlisted-Linked Utility Firms</t>
  </si>
  <si>
    <t>Limited Disclosure</t>
  </si>
  <si>
    <t>Insufficient publicly available financial information</t>
  </si>
  <si>
    <t>Regional City Gas Operators</t>
  </si>
  <si>
    <t>Sub-Scale CGD</t>
  </si>
  <si>
    <t>Small CGD networks with limited growth visibility</t>
  </si>
  <si>
    <t>Small Energy Services Firms</t>
  </si>
  <si>
    <t>Service Model</t>
  </si>
  <si>
    <t>Service-based model, not asset-owning utilities</t>
  </si>
  <si>
    <t>Infrastructure Holding SPVs</t>
  </si>
  <si>
    <t>Holding/SPV</t>
  </si>
  <si>
    <t>Model lacks direct operating utility exposure</t>
  </si>
  <si>
    <t>Minor Renewable IPPs</t>
  </si>
  <si>
    <t>Scale Constraint</t>
  </si>
  <si>
    <t>Low capacity and limited access to capital</t>
  </si>
  <si>
    <t>Legacy Power Assets</t>
  </si>
  <si>
    <t>Obsolete Assets</t>
  </si>
  <si>
    <t>Aging assets with limited return potential</t>
  </si>
  <si>
    <t>Non-Comparable</t>
  </si>
  <si>
    <t>Do not fit cleanly into utility investment framework</t>
  </si>
  <si>
    <r>
      <rPr>
        <b/>
        <i/>
        <u/>
        <sz val="11"/>
        <color theme="1"/>
        <rFont val="Calibri"/>
        <family val="2"/>
        <scheme val="minor"/>
      </rPr>
      <t xml:space="preserve">Note: </t>
    </r>
    <r>
      <rPr>
        <i/>
        <u/>
        <sz val="11"/>
        <color theme="1"/>
        <rFont val="Calibri"/>
        <family val="2"/>
        <scheme val="minor"/>
      </rPr>
      <t>These companies were screened out at a preliminary stage due to limited scale, non-core utility exposure, early-stage operations, execution-driven earnings, or insufficient investment relevance.</t>
    </r>
  </si>
  <si>
    <r>
      <rPr>
        <b/>
        <i/>
        <u/>
        <sz val="11"/>
        <color theme="1"/>
        <rFont val="Calibri"/>
        <family val="2"/>
        <scheme val="minor"/>
      </rPr>
      <t>Note</t>
    </r>
    <r>
      <rPr>
        <i/>
        <u/>
        <sz val="11"/>
        <color theme="1"/>
        <rFont val="Calibri"/>
        <family val="2"/>
        <scheme val="minor"/>
      </rPr>
      <t>: Companies were excluded based on financial weakness, non-core utility business models, high execution or fuel risk, limited scale, or insufficient investment visibility.</t>
    </r>
  </si>
  <si>
    <t>Share</t>
  </si>
  <si>
    <t>~0.0%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</si>
</sst>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7" x14ac:knownFonts="1">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i/>
      <sz val="11"/>
      <color theme="1"/>
      <name val="Calibri"/>
      <family val="2"/>
      <scheme val="minor"/>
    </font>
    <font>
      <b/>
      <i/>
      <sz val="14"/>
      <color theme="1"/>
      <name val="Calibri"/>
      <family val="2"/>
      <scheme val="minor"/>
    </font>
    <font>
      <i/>
      <u/>
      <sz val="14"/>
      <color theme="1"/>
      <name val="Calibri"/>
      <family val="2"/>
      <scheme val="minor"/>
    </font>
    <font>
      <b/>
      <i/>
      <u/>
      <sz val="14"/>
      <color theme="1"/>
      <name val="Calibri"/>
      <family val="2"/>
      <scheme val="minor"/>
    </font>
    <font>
      <u/>
      <sz val="14"/>
      <color theme="1"/>
      <name val="Calibri"/>
      <family val="2"/>
      <scheme val="minor"/>
    </font>
    <font>
      <u/>
      <sz val="11"/>
      <color theme="1"/>
      <name val="Calibri"/>
      <family val="2"/>
      <scheme val="minor"/>
    </font>
    <font>
      <b/>
      <sz val="11"/>
      <color rgb="FF000000"/>
      <name val="Calibri"/>
      <family val="2"/>
      <scheme val="minor"/>
    </font>
    <font>
      <sz val="11"/>
      <color rgb="FF000000"/>
      <name val="Calibri"/>
      <family val="2"/>
      <scheme val="minor"/>
    </font>
    <font>
      <i/>
      <u/>
      <sz val="11"/>
      <color theme="1"/>
      <name val="Calibri"/>
      <family val="2"/>
      <scheme val="minor"/>
    </font>
    <font>
      <b/>
      <i/>
      <u/>
      <sz val="11"/>
      <color theme="1"/>
      <name val="Calibri"/>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5" tint="0.79998168889431442"/>
        <bgColor indexed="65"/>
      </patternFill>
    </fill>
    <fill>
      <patternFill patternType="solid">
        <fgColor theme="6"/>
      </patternFill>
    </fill>
    <fill>
      <patternFill patternType="solid">
        <fgColor theme="6" tint="0.59999389629810485"/>
        <bgColor indexed="65"/>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2" fillId="5" borderId="0" applyNumberFormat="0" applyBorder="0" applyAlignment="0" applyProtection="0"/>
    <xf numFmtId="0" fontId="6" fillId="6" borderId="0" applyNumberFormat="0" applyBorder="0" applyAlignment="0" applyProtection="0"/>
    <xf numFmtId="0" fontId="2" fillId="7" borderId="0" applyNumberFormat="0" applyBorder="0" applyAlignment="0" applyProtection="0"/>
  </cellStyleXfs>
  <cellXfs count="61">
    <xf numFmtId="0" fontId="0" fillId="0" borderId="0" xfId="0"/>
    <xf numFmtId="10" fontId="0" fillId="0" borderId="0" xfId="0" applyNumberFormat="1"/>
    <xf numFmtId="0" fontId="0" fillId="0" borderId="0" xfId="0" applyAlignment="1">
      <alignment horizontal="left"/>
    </xf>
    <xf numFmtId="10" fontId="0" fillId="0" borderId="0" xfId="0" applyNumberFormat="1" applyAlignment="1">
      <alignment horizontal="left"/>
    </xf>
    <xf numFmtId="0" fontId="1" fillId="0" borderId="0" xfId="0" applyFont="1" applyAlignment="1">
      <alignment horizontal="left"/>
    </xf>
    <xf numFmtId="43" fontId="0" fillId="0" borderId="0" xfId="1" applyFont="1"/>
    <xf numFmtId="43" fontId="1" fillId="0" borderId="1" xfId="1" applyFont="1" applyBorder="1" applyAlignment="1">
      <alignment horizontal="center" vertical="top"/>
    </xf>
    <xf numFmtId="43" fontId="1" fillId="0" borderId="1" xfId="1" applyFont="1" applyBorder="1" applyAlignment="1">
      <alignment horizontal="center" vertical="top" wrapText="1"/>
    </xf>
    <xf numFmtId="43" fontId="1" fillId="0" borderId="0" xfId="1" applyFont="1" applyBorder="1" applyAlignment="1">
      <alignment horizontal="center" vertical="top"/>
    </xf>
    <xf numFmtId="43" fontId="1" fillId="0" borderId="0" xfId="1" applyFont="1" applyBorder="1" applyAlignment="1">
      <alignment horizontal="center" vertical="top" wrapText="1"/>
    </xf>
    <xf numFmtId="0" fontId="0" fillId="0" borderId="0" xfId="0" applyAlignment="1">
      <alignment horizontal="right"/>
    </xf>
    <xf numFmtId="9" fontId="0" fillId="0" borderId="0" xfId="2" applyFont="1"/>
    <xf numFmtId="10" fontId="0" fillId="0" borderId="0" xfId="2" applyNumberFormat="1" applyFont="1"/>
    <xf numFmtId="43" fontId="0" fillId="0" borderId="0" xfId="1" applyFont="1" applyFill="1"/>
    <xf numFmtId="0" fontId="0" fillId="0" borderId="0" xfId="0" applyAlignment="1">
      <alignment horizontal="center"/>
    </xf>
    <xf numFmtId="0" fontId="5" fillId="4" borderId="0" xfId="5"/>
    <xf numFmtId="0" fontId="4" fillId="3" borderId="0" xfId="4"/>
    <xf numFmtId="43" fontId="4" fillId="3" borderId="0" xfId="4" applyNumberFormat="1"/>
    <xf numFmtId="0" fontId="4" fillId="3" borderId="0" xfId="4" applyNumberFormat="1"/>
    <xf numFmtId="43" fontId="3" fillId="2" borderId="0" xfId="3" applyNumberFormat="1"/>
    <xf numFmtId="0" fontId="3" fillId="2" borderId="0" xfId="3" applyNumberFormat="1"/>
    <xf numFmtId="43" fontId="5" fillId="4" borderId="0" xfId="5" applyNumberFormat="1"/>
    <xf numFmtId="0" fontId="5" fillId="4" borderId="0" xfId="5" applyNumberFormat="1"/>
    <xf numFmtId="2" fontId="0" fillId="0" borderId="0" xfId="1" applyNumberFormat="1" applyFont="1"/>
    <xf numFmtId="2" fontId="0" fillId="0" borderId="0" xfId="0" applyNumberFormat="1"/>
    <xf numFmtId="0" fontId="6" fillId="6" borderId="0" xfId="7"/>
    <xf numFmtId="0" fontId="2" fillId="7" borderId="0" xfId="8"/>
    <xf numFmtId="0" fontId="2" fillId="5" borderId="0" xfId="6"/>
    <xf numFmtId="43" fontId="1" fillId="0" borderId="1" xfId="1" applyFont="1" applyBorder="1" applyAlignment="1">
      <alignment horizontal="center" vertical="center"/>
    </xf>
    <xf numFmtId="2" fontId="1" fillId="0" borderId="1" xfId="1" applyNumberFormat="1" applyFont="1" applyBorder="1" applyAlignment="1">
      <alignment horizontal="center" vertical="center" wrapText="1"/>
    </xf>
    <xf numFmtId="2" fontId="1" fillId="0" borderId="1" xfId="1" applyNumberFormat="1" applyFont="1" applyBorder="1" applyAlignment="1">
      <alignment horizontal="center" vertical="center"/>
    </xf>
    <xf numFmtId="0" fontId="0" fillId="0" borderId="0" xfId="0" applyAlignment="1">
      <alignment horizontal="center" vertical="center"/>
    </xf>
    <xf numFmtId="0" fontId="1" fillId="0" borderId="1" xfId="0" applyFont="1" applyBorder="1"/>
    <xf numFmtId="0" fontId="9" fillId="0" borderId="0" xfId="0" applyFont="1"/>
    <xf numFmtId="0" fontId="11" fillId="0" borderId="0" xfId="0" applyFont="1"/>
    <xf numFmtId="0" fontId="12" fillId="0" borderId="0" xfId="0" applyFont="1"/>
    <xf numFmtId="0" fontId="8" fillId="8" borderId="0" xfId="0" applyFont="1" applyFill="1" applyAlignment="1">
      <alignment horizontal="left"/>
    </xf>
    <xf numFmtId="0" fontId="0" fillId="8" borderId="0" xfId="0" applyFill="1" applyAlignment="1">
      <alignment horizontal="left"/>
    </xf>
    <xf numFmtId="4" fontId="0" fillId="0" borderId="0" xfId="0" applyNumberFormat="1" applyAlignment="1">
      <alignment horizontal="left"/>
    </xf>
    <xf numFmtId="10" fontId="0" fillId="8" borderId="0" xfId="0" applyNumberFormat="1" applyFill="1" applyAlignment="1">
      <alignment horizontal="left"/>
    </xf>
    <xf numFmtId="0" fontId="7" fillId="8" borderId="0" xfId="0" applyFont="1" applyFill="1" applyAlignment="1">
      <alignment horizontal="left"/>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3" fillId="0" borderId="0" xfId="0" applyFont="1"/>
    <xf numFmtId="0" fontId="14" fillId="0" borderId="0" xfId="0" applyFont="1"/>
    <xf numFmtId="0" fontId="13" fillId="0" borderId="1" xfId="0" applyFont="1" applyBorder="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13"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alignment vertical="center"/>
    </xf>
    <xf numFmtId="0" fontId="1" fillId="0" borderId="0" xfId="0" applyFont="1"/>
    <xf numFmtId="0" fontId="1" fillId="8" borderId="0" xfId="0" applyFont="1" applyFill="1"/>
    <xf numFmtId="0" fontId="0" fillId="8" borderId="0" xfId="0" applyFill="1"/>
    <xf numFmtId="2" fontId="1" fillId="0" borderId="1" xfId="0" applyNumberFormat="1" applyFont="1" applyBorder="1" applyAlignment="1">
      <alignment horizontal="center" vertical="top"/>
    </xf>
    <xf numFmtId="0" fontId="0" fillId="0" borderId="0" xfId="0" applyAlignment="1">
      <alignment horizontal="left" vertical="center" wrapText="1"/>
    </xf>
    <xf numFmtId="0" fontId="13" fillId="0" borderId="0" xfId="0" applyFont="1" applyAlignment="1">
      <alignment horizontal="center"/>
    </xf>
    <xf numFmtId="0" fontId="13" fillId="8" borderId="2" xfId="0" applyFont="1" applyFill="1" applyBorder="1" applyAlignment="1">
      <alignment horizontal="left" vertical="center"/>
    </xf>
    <xf numFmtId="0" fontId="15" fillId="0" borderId="0" xfId="0" applyFont="1" applyAlignment="1">
      <alignment horizontal="center"/>
    </xf>
  </cellXfs>
  <cellStyles count="9">
    <cellStyle name="20% - Accent2" xfId="6" builtinId="34"/>
    <cellStyle name="40% - Accent3" xfId="8" builtinId="39"/>
    <cellStyle name="Accent3" xfId="7" builtinId="37"/>
    <cellStyle name="Bad" xfId="4" builtinId="27"/>
    <cellStyle name="Comma" xfId="1" builtinId="3"/>
    <cellStyle name="Good" xfId="3" builtinId="26"/>
    <cellStyle name="Neutral" xfId="5" builtinId="28"/>
    <cellStyle name="Normal" xfId="0" builtinId="0"/>
    <cellStyle name="Per cent" xfId="2" builtinId="5"/>
  </cellStyles>
  <dxfs count="28">
    <dxf>
      <font>
        <color rgb="FF9C0006"/>
      </font>
      <fill>
        <patternFill>
          <bgColor rgb="FFFFC7CE"/>
        </patternFill>
      </fill>
    </dxf>
    <dxf>
      <fill>
        <patternFill>
          <bgColor theme="6" tint="0.39994506668294322"/>
        </patternFill>
      </fill>
    </dxf>
    <dxf>
      <fill>
        <patternFill>
          <bgColor theme="6" tint="0.39994506668294322"/>
        </patternFill>
      </fill>
    </dxf>
    <dxf>
      <font>
        <color rgb="FF9C0006"/>
      </font>
      <fill>
        <patternFill>
          <bgColor rgb="FFFFC7CE"/>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color rgb="FF9C0006"/>
      </font>
      <fill>
        <patternFill>
          <bgColor rgb="FFFFC7CE"/>
        </patternFill>
      </fill>
    </dxf>
    <dxf>
      <fill>
        <patternFill>
          <bgColor theme="6" tint="0.39994506668294322"/>
        </patternFill>
      </fill>
    </dxf>
    <dxf>
      <fill>
        <patternFill>
          <bgColor theme="6" tint="0.39994506668294322"/>
        </patternFill>
      </fill>
    </dxf>
    <dxf>
      <fill>
        <patternFill>
          <bgColor theme="6" tint="0.39994506668294322"/>
        </patternFill>
      </fill>
    </dxf>
    <dxf>
      <font>
        <color rgb="FF9C0006"/>
      </font>
      <fill>
        <patternFill>
          <bgColor rgb="FFFFC7CE"/>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color rgb="FF9C0006"/>
      </font>
      <fill>
        <patternFill>
          <bgColor rgb="FFFFC7CE"/>
        </patternFill>
      </fill>
    </dxf>
    <dxf>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6EFCE"/>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8B791-DBC3-4CED-BDCD-1388EF8E07A1}">
  <dimension ref="B1:J101"/>
  <sheetViews>
    <sheetView showGridLines="0" workbookViewId="0">
      <selection activeCell="B6" sqref="B6"/>
    </sheetView>
  </sheetViews>
  <sheetFormatPr defaultRowHeight="14.4" x14ac:dyDescent="0.3"/>
  <cols>
    <col min="1" max="1" width="1.77734375" customWidth="1"/>
    <col min="2" max="2" width="39.109375" style="44" customWidth="1"/>
    <col min="3" max="3" width="21.88671875" bestFit="1" customWidth="1"/>
    <col min="4" max="4" width="17.44140625" bestFit="1" customWidth="1"/>
    <col min="5" max="5" width="23.5546875" bestFit="1" customWidth="1"/>
    <col min="6" max="6" width="18.33203125" customWidth="1"/>
    <col min="7" max="7" width="21" bestFit="1" customWidth="1"/>
    <col min="8" max="8" width="19.44140625" bestFit="1" customWidth="1"/>
    <col min="9" max="9" width="14.109375" customWidth="1"/>
    <col min="10" max="10" width="18.88671875" bestFit="1" customWidth="1"/>
  </cols>
  <sheetData>
    <row r="1" spans="2:10" x14ac:dyDescent="0.3">
      <c r="B1" s="44" t="s">
        <v>764</v>
      </c>
    </row>
    <row r="2" spans="2:10" x14ac:dyDescent="0.3">
      <c r="B2" s="44" t="s">
        <v>753</v>
      </c>
    </row>
    <row r="4" spans="2:10" x14ac:dyDescent="0.3">
      <c r="B4" s="45" t="s">
        <v>759</v>
      </c>
    </row>
    <row r="5" spans="2:10" x14ac:dyDescent="0.3">
      <c r="B5" s="45" t="s">
        <v>760</v>
      </c>
    </row>
    <row r="6" spans="2:10" x14ac:dyDescent="0.3">
      <c r="B6" s="45" t="s">
        <v>761</v>
      </c>
    </row>
    <row r="7" spans="2:10" x14ac:dyDescent="0.3">
      <c r="B7" s="45" t="s">
        <v>762</v>
      </c>
    </row>
    <row r="8" spans="2:10" x14ac:dyDescent="0.3">
      <c r="B8" s="45" t="s">
        <v>763</v>
      </c>
    </row>
    <row r="10" spans="2:10" x14ac:dyDescent="0.3">
      <c r="B10" s="46" t="s">
        <v>0</v>
      </c>
      <c r="C10" s="46" t="s">
        <v>590</v>
      </c>
      <c r="D10" s="46" t="s">
        <v>591</v>
      </c>
      <c r="E10" s="46" t="s">
        <v>592</v>
      </c>
      <c r="F10" s="46" t="s">
        <v>593</v>
      </c>
      <c r="G10" s="46" t="s">
        <v>594</v>
      </c>
      <c r="H10" s="32" t="s">
        <v>595</v>
      </c>
      <c r="I10" s="46" t="s">
        <v>596</v>
      </c>
      <c r="J10" s="32" t="s">
        <v>597</v>
      </c>
    </row>
    <row r="11" spans="2:10" x14ac:dyDescent="0.3">
      <c r="B11" s="45" t="s">
        <v>458</v>
      </c>
      <c r="C11" s="45" t="s">
        <v>598</v>
      </c>
      <c r="D11" s="45" t="s">
        <v>599</v>
      </c>
      <c r="E11" s="45" t="s">
        <v>600</v>
      </c>
      <c r="F11" s="45" t="s">
        <v>601</v>
      </c>
      <c r="G11" s="45" t="s">
        <v>602</v>
      </c>
      <c r="H11" t="s">
        <v>603</v>
      </c>
      <c r="I11" s="45" t="s">
        <v>604</v>
      </c>
      <c r="J11" t="s">
        <v>605</v>
      </c>
    </row>
    <row r="12" spans="2:10" x14ac:dyDescent="0.3">
      <c r="B12" s="45" t="s">
        <v>460</v>
      </c>
      <c r="C12" s="45" t="s">
        <v>674</v>
      </c>
      <c r="D12" s="45" t="s">
        <v>677</v>
      </c>
      <c r="E12" s="45" t="s">
        <v>620</v>
      </c>
      <c r="F12" s="45" t="s">
        <v>609</v>
      </c>
      <c r="G12" s="45" t="s">
        <v>678</v>
      </c>
      <c r="H12" t="s">
        <v>638</v>
      </c>
      <c r="I12" s="45" t="s">
        <v>604</v>
      </c>
      <c r="J12" t="s">
        <v>679</v>
      </c>
    </row>
    <row r="13" spans="2:10" x14ac:dyDescent="0.3">
      <c r="B13" s="45" t="s">
        <v>461</v>
      </c>
      <c r="C13" s="45" t="s">
        <v>637</v>
      </c>
      <c r="D13" s="45" t="s">
        <v>680</v>
      </c>
      <c r="E13" s="45" t="s">
        <v>620</v>
      </c>
      <c r="F13" s="45" t="s">
        <v>638</v>
      </c>
      <c r="G13" s="45" t="s">
        <v>681</v>
      </c>
      <c r="H13" t="s">
        <v>638</v>
      </c>
      <c r="I13" s="45" t="s">
        <v>604</v>
      </c>
      <c r="J13" t="s">
        <v>682</v>
      </c>
    </row>
    <row r="14" spans="2:10" x14ac:dyDescent="0.3">
      <c r="B14" s="45" t="s">
        <v>484</v>
      </c>
      <c r="C14" s="45" t="s">
        <v>606</v>
      </c>
      <c r="D14" s="45" t="s">
        <v>607</v>
      </c>
      <c r="E14" s="45" t="s">
        <v>608</v>
      </c>
      <c r="F14" s="45" t="s">
        <v>609</v>
      </c>
      <c r="G14" s="45" t="s">
        <v>610</v>
      </c>
      <c r="H14" t="s">
        <v>603</v>
      </c>
      <c r="I14" s="45" t="s">
        <v>604</v>
      </c>
      <c r="J14" t="s">
        <v>611</v>
      </c>
    </row>
    <row r="15" spans="2:10" x14ac:dyDescent="0.3">
      <c r="B15" s="45" t="s">
        <v>427</v>
      </c>
      <c r="C15" s="45" t="s">
        <v>674</v>
      </c>
      <c r="D15" s="45" t="s">
        <v>683</v>
      </c>
      <c r="E15" s="45" t="s">
        <v>620</v>
      </c>
      <c r="F15" s="45" t="s">
        <v>603</v>
      </c>
      <c r="G15" s="45" t="s">
        <v>684</v>
      </c>
      <c r="H15" t="s">
        <v>638</v>
      </c>
      <c r="I15" s="45" t="s">
        <v>604</v>
      </c>
      <c r="J15" t="s">
        <v>679</v>
      </c>
    </row>
    <row r="16" spans="2:10" x14ac:dyDescent="0.3">
      <c r="B16" s="45" t="s">
        <v>475</v>
      </c>
      <c r="C16" s="45" t="s">
        <v>612</v>
      </c>
      <c r="D16" s="45" t="s">
        <v>613</v>
      </c>
      <c r="E16" s="45" t="s">
        <v>614</v>
      </c>
      <c r="F16" s="45" t="s">
        <v>603</v>
      </c>
      <c r="G16" s="45" t="s">
        <v>615</v>
      </c>
      <c r="H16" t="s">
        <v>603</v>
      </c>
      <c r="I16" s="45" t="s">
        <v>616</v>
      </c>
      <c r="J16" t="s">
        <v>617</v>
      </c>
    </row>
    <row r="17" spans="2:10" x14ac:dyDescent="0.3">
      <c r="B17" s="45" t="s">
        <v>451</v>
      </c>
      <c r="C17" s="45" t="s">
        <v>618</v>
      </c>
      <c r="D17" s="45" t="s">
        <v>619</v>
      </c>
      <c r="E17" s="45" t="s">
        <v>620</v>
      </c>
      <c r="F17" s="45" t="s">
        <v>609</v>
      </c>
      <c r="G17" s="45" t="s">
        <v>621</v>
      </c>
      <c r="H17" t="s">
        <v>603</v>
      </c>
      <c r="I17" s="45" t="s">
        <v>604</v>
      </c>
      <c r="J17" t="s">
        <v>617</v>
      </c>
    </row>
    <row r="18" spans="2:10" x14ac:dyDescent="0.3">
      <c r="B18" s="45" t="s">
        <v>436</v>
      </c>
      <c r="C18" s="45" t="s">
        <v>685</v>
      </c>
      <c r="D18" s="45" t="s">
        <v>686</v>
      </c>
      <c r="E18" s="45" t="s">
        <v>687</v>
      </c>
      <c r="F18" s="45" t="s">
        <v>638</v>
      </c>
      <c r="G18" s="45" t="s">
        <v>688</v>
      </c>
      <c r="H18" t="s">
        <v>638</v>
      </c>
      <c r="I18" s="45" t="s">
        <v>665</v>
      </c>
      <c r="J18" t="s">
        <v>617</v>
      </c>
    </row>
    <row r="19" spans="2:10" x14ac:dyDescent="0.3">
      <c r="B19" s="45" t="s">
        <v>434</v>
      </c>
      <c r="C19" s="45" t="s">
        <v>637</v>
      </c>
      <c r="D19" s="45" t="s">
        <v>689</v>
      </c>
      <c r="E19" s="45" t="s">
        <v>620</v>
      </c>
      <c r="F19" s="45" t="s">
        <v>638</v>
      </c>
      <c r="G19" s="45" t="s">
        <v>690</v>
      </c>
      <c r="H19" t="s">
        <v>638</v>
      </c>
      <c r="I19" s="45" t="s">
        <v>604</v>
      </c>
      <c r="J19" t="s">
        <v>682</v>
      </c>
    </row>
    <row r="20" spans="2:10" x14ac:dyDescent="0.3">
      <c r="B20" s="45" t="s">
        <v>485</v>
      </c>
      <c r="C20" s="45" t="s">
        <v>622</v>
      </c>
      <c r="D20" s="45" t="s">
        <v>607</v>
      </c>
      <c r="E20" s="45" t="s">
        <v>623</v>
      </c>
      <c r="F20" s="45" t="s">
        <v>609</v>
      </c>
      <c r="G20" s="45" t="s">
        <v>624</v>
      </c>
      <c r="H20" t="s">
        <v>603</v>
      </c>
      <c r="I20" s="45" t="s">
        <v>604</v>
      </c>
      <c r="J20" t="s">
        <v>611</v>
      </c>
    </row>
    <row r="21" spans="2:10" x14ac:dyDescent="0.3">
      <c r="B21" s="45" t="s">
        <v>430</v>
      </c>
      <c r="C21" s="45" t="s">
        <v>674</v>
      </c>
      <c r="D21" s="45" t="s">
        <v>677</v>
      </c>
      <c r="E21" s="45" t="s">
        <v>620</v>
      </c>
      <c r="F21" s="45" t="s">
        <v>603</v>
      </c>
      <c r="G21" s="45" t="s">
        <v>684</v>
      </c>
      <c r="H21" t="s">
        <v>638</v>
      </c>
      <c r="I21" s="45" t="s">
        <v>604</v>
      </c>
      <c r="J21" t="s">
        <v>679</v>
      </c>
    </row>
    <row r="22" spans="2:10" x14ac:dyDescent="0.3">
      <c r="B22" s="45" t="s">
        <v>482</v>
      </c>
      <c r="C22" s="45" t="s">
        <v>606</v>
      </c>
      <c r="D22" s="45" t="s">
        <v>607</v>
      </c>
      <c r="E22" s="45" t="s">
        <v>608</v>
      </c>
      <c r="F22" s="45" t="s">
        <v>609</v>
      </c>
      <c r="G22" s="45" t="s">
        <v>625</v>
      </c>
      <c r="H22" t="s">
        <v>603</v>
      </c>
      <c r="I22" s="45" t="s">
        <v>604</v>
      </c>
      <c r="J22" t="s">
        <v>611</v>
      </c>
    </row>
    <row r="23" spans="2:10" x14ac:dyDescent="0.3">
      <c r="B23" s="45" t="s">
        <v>442</v>
      </c>
      <c r="C23" s="45" t="s">
        <v>637</v>
      </c>
      <c r="D23" s="45" t="s">
        <v>691</v>
      </c>
      <c r="E23" s="45" t="s">
        <v>620</v>
      </c>
      <c r="F23" s="45" t="s">
        <v>638</v>
      </c>
      <c r="G23" s="45" t="s">
        <v>692</v>
      </c>
      <c r="H23" t="s">
        <v>638</v>
      </c>
      <c r="I23" s="45" t="s">
        <v>604</v>
      </c>
      <c r="J23" t="s">
        <v>682</v>
      </c>
    </row>
    <row r="24" spans="2:10" x14ac:dyDescent="0.3">
      <c r="B24" s="45" t="s">
        <v>480</v>
      </c>
      <c r="C24" s="45" t="s">
        <v>622</v>
      </c>
      <c r="D24" s="45" t="s">
        <v>607</v>
      </c>
      <c r="E24" s="45" t="s">
        <v>600</v>
      </c>
      <c r="F24" s="45" t="s">
        <v>609</v>
      </c>
      <c r="G24" s="45" t="s">
        <v>626</v>
      </c>
      <c r="H24" t="s">
        <v>603</v>
      </c>
      <c r="I24" s="45" t="s">
        <v>604</v>
      </c>
      <c r="J24" t="s">
        <v>611</v>
      </c>
    </row>
    <row r="25" spans="2:10" x14ac:dyDescent="0.3">
      <c r="B25" s="45" t="s">
        <v>438</v>
      </c>
      <c r="C25" s="45" t="s">
        <v>637</v>
      </c>
      <c r="D25" s="45" t="s">
        <v>619</v>
      </c>
      <c r="E25" s="45" t="s">
        <v>620</v>
      </c>
      <c r="F25" s="45" t="s">
        <v>638</v>
      </c>
      <c r="G25" s="45" t="s">
        <v>693</v>
      </c>
      <c r="H25" t="s">
        <v>638</v>
      </c>
      <c r="I25" s="45" t="s">
        <v>604</v>
      </c>
      <c r="J25" t="s">
        <v>682</v>
      </c>
    </row>
    <row r="26" spans="2:10" x14ac:dyDescent="0.3">
      <c r="B26" s="45" t="s">
        <v>435</v>
      </c>
      <c r="C26" s="45" t="s">
        <v>674</v>
      </c>
      <c r="D26" s="45" t="s">
        <v>675</v>
      </c>
      <c r="E26" s="45" t="s">
        <v>620</v>
      </c>
      <c r="F26" s="45" t="s">
        <v>603</v>
      </c>
      <c r="G26" s="45" t="s">
        <v>694</v>
      </c>
      <c r="H26" t="s">
        <v>638</v>
      </c>
      <c r="I26" s="45" t="s">
        <v>604</v>
      </c>
      <c r="J26" t="s">
        <v>682</v>
      </c>
    </row>
    <row r="27" spans="2:10" x14ac:dyDescent="0.3">
      <c r="B27" s="45" t="s">
        <v>481</v>
      </c>
      <c r="C27" s="45" t="s">
        <v>606</v>
      </c>
      <c r="D27" s="45" t="s">
        <v>607</v>
      </c>
      <c r="E27" s="45" t="s">
        <v>608</v>
      </c>
      <c r="F27" s="45" t="s">
        <v>609</v>
      </c>
      <c r="G27" s="45" t="s">
        <v>627</v>
      </c>
      <c r="H27" t="s">
        <v>603</v>
      </c>
      <c r="I27" s="45" t="s">
        <v>604</v>
      </c>
      <c r="J27" t="s">
        <v>611</v>
      </c>
    </row>
    <row r="28" spans="2:10" x14ac:dyDescent="0.3">
      <c r="B28" s="45" t="s">
        <v>469</v>
      </c>
      <c r="C28" s="45" t="s">
        <v>695</v>
      </c>
      <c r="D28" s="45" t="s">
        <v>675</v>
      </c>
      <c r="E28" s="45" t="s">
        <v>687</v>
      </c>
      <c r="F28" s="45" t="s">
        <v>638</v>
      </c>
      <c r="G28" s="45" t="s">
        <v>696</v>
      </c>
      <c r="H28" t="s">
        <v>638</v>
      </c>
      <c r="I28" s="45" t="s">
        <v>665</v>
      </c>
      <c r="J28" t="s">
        <v>679</v>
      </c>
    </row>
    <row r="29" spans="2:10" x14ac:dyDescent="0.3">
      <c r="B29" s="45" t="s">
        <v>448</v>
      </c>
      <c r="C29" s="45" t="s">
        <v>637</v>
      </c>
      <c r="D29" s="45" t="s">
        <v>697</v>
      </c>
      <c r="E29" s="45" t="s">
        <v>620</v>
      </c>
      <c r="F29" s="45" t="s">
        <v>603</v>
      </c>
      <c r="G29" s="45" t="s">
        <v>633</v>
      </c>
      <c r="H29" t="s">
        <v>638</v>
      </c>
      <c r="I29" s="45" t="s">
        <v>604</v>
      </c>
      <c r="J29" t="s">
        <v>682</v>
      </c>
    </row>
    <row r="30" spans="2:10" x14ac:dyDescent="0.3">
      <c r="B30" s="45" t="s">
        <v>463</v>
      </c>
      <c r="C30" s="45" t="s">
        <v>628</v>
      </c>
      <c r="D30" s="45" t="s">
        <v>629</v>
      </c>
      <c r="E30" s="45" t="s">
        <v>630</v>
      </c>
      <c r="F30" s="45" t="s">
        <v>603</v>
      </c>
      <c r="G30" s="45" t="s">
        <v>617</v>
      </c>
      <c r="H30" t="s">
        <v>603</v>
      </c>
      <c r="I30" s="45" t="s">
        <v>631</v>
      </c>
      <c r="J30" t="s">
        <v>617</v>
      </c>
    </row>
    <row r="31" spans="2:10" x14ac:dyDescent="0.3">
      <c r="B31" s="45" t="s">
        <v>456</v>
      </c>
      <c r="C31" s="45" t="s">
        <v>637</v>
      </c>
      <c r="D31" s="45" t="s">
        <v>698</v>
      </c>
      <c r="E31" s="45" t="s">
        <v>620</v>
      </c>
      <c r="F31" s="45" t="s">
        <v>609</v>
      </c>
      <c r="G31" s="45" t="s">
        <v>699</v>
      </c>
      <c r="H31" t="s">
        <v>638</v>
      </c>
      <c r="I31" s="45" t="s">
        <v>604</v>
      </c>
      <c r="J31" t="s">
        <v>682</v>
      </c>
    </row>
    <row r="32" spans="2:10" x14ac:dyDescent="0.3">
      <c r="B32" s="45" t="s">
        <v>439</v>
      </c>
      <c r="C32" s="45" t="s">
        <v>632</v>
      </c>
      <c r="D32" s="45" t="s">
        <v>599</v>
      </c>
      <c r="E32" s="45" t="s">
        <v>614</v>
      </c>
      <c r="F32" s="45" t="s">
        <v>603</v>
      </c>
      <c r="G32" s="45" t="s">
        <v>633</v>
      </c>
      <c r="H32" t="s">
        <v>603</v>
      </c>
      <c r="I32" s="45" t="s">
        <v>616</v>
      </c>
      <c r="J32" t="s">
        <v>615</v>
      </c>
    </row>
    <row r="33" spans="2:10" x14ac:dyDescent="0.3">
      <c r="B33" s="45" t="s">
        <v>467</v>
      </c>
      <c r="C33" s="45" t="s">
        <v>700</v>
      </c>
      <c r="D33" s="45" t="s">
        <v>675</v>
      </c>
      <c r="E33" s="45" t="s">
        <v>620</v>
      </c>
      <c r="F33" s="45" t="s">
        <v>609</v>
      </c>
      <c r="G33" s="45" t="s">
        <v>701</v>
      </c>
      <c r="H33" t="s">
        <v>638</v>
      </c>
      <c r="I33" s="45" t="s">
        <v>604</v>
      </c>
      <c r="J33" t="s">
        <v>682</v>
      </c>
    </row>
    <row r="34" spans="2:10" x14ac:dyDescent="0.3">
      <c r="B34" s="45" t="s">
        <v>433</v>
      </c>
      <c r="C34" s="45" t="s">
        <v>674</v>
      </c>
      <c r="D34" s="45" t="s">
        <v>675</v>
      </c>
      <c r="E34" s="45" t="s">
        <v>620</v>
      </c>
      <c r="F34" s="45" t="s">
        <v>603</v>
      </c>
      <c r="G34" s="45" t="s">
        <v>661</v>
      </c>
      <c r="H34" t="s">
        <v>638</v>
      </c>
      <c r="I34" s="45" t="s">
        <v>604</v>
      </c>
      <c r="J34" t="s">
        <v>682</v>
      </c>
    </row>
    <row r="35" spans="2:10" x14ac:dyDescent="0.3">
      <c r="B35" s="45" t="s">
        <v>428</v>
      </c>
      <c r="C35" s="45" t="s">
        <v>637</v>
      </c>
      <c r="D35" s="45" t="s">
        <v>702</v>
      </c>
      <c r="E35" s="45" t="s">
        <v>620</v>
      </c>
      <c r="F35" s="45" t="s">
        <v>603</v>
      </c>
      <c r="G35" s="45" t="s">
        <v>703</v>
      </c>
      <c r="H35" t="s">
        <v>638</v>
      </c>
      <c r="I35" s="45" t="s">
        <v>604</v>
      </c>
      <c r="J35" t="s">
        <v>682</v>
      </c>
    </row>
    <row r="36" spans="2:10" x14ac:dyDescent="0.3">
      <c r="B36" s="45" t="s">
        <v>470</v>
      </c>
      <c r="C36" s="45" t="s">
        <v>674</v>
      </c>
      <c r="D36" s="45" t="s">
        <v>683</v>
      </c>
      <c r="E36" s="45" t="s">
        <v>620</v>
      </c>
      <c r="F36" s="45" t="s">
        <v>609</v>
      </c>
      <c r="G36" s="45" t="s">
        <v>701</v>
      </c>
      <c r="H36" t="s">
        <v>638</v>
      </c>
      <c r="I36" s="45" t="s">
        <v>604</v>
      </c>
      <c r="J36" t="s">
        <v>679</v>
      </c>
    </row>
    <row r="37" spans="2:10" x14ac:dyDescent="0.3">
      <c r="B37" s="45" t="s">
        <v>437</v>
      </c>
      <c r="C37" s="45" t="s">
        <v>634</v>
      </c>
      <c r="D37" s="45" t="s">
        <v>635</v>
      </c>
      <c r="E37" s="45" t="s">
        <v>614</v>
      </c>
      <c r="F37" s="45" t="s">
        <v>603</v>
      </c>
      <c r="G37" s="45" t="s">
        <v>615</v>
      </c>
      <c r="H37" t="s">
        <v>603</v>
      </c>
      <c r="I37" s="45" t="s">
        <v>616</v>
      </c>
      <c r="J37" t="s">
        <v>615</v>
      </c>
    </row>
    <row r="38" spans="2:10" x14ac:dyDescent="0.3">
      <c r="B38" s="45" t="s">
        <v>479</v>
      </c>
      <c r="C38" s="45" t="s">
        <v>606</v>
      </c>
      <c r="D38" s="45" t="s">
        <v>607</v>
      </c>
      <c r="E38" s="45" t="s">
        <v>608</v>
      </c>
      <c r="F38" s="45" t="s">
        <v>609</v>
      </c>
      <c r="G38" s="45" t="s">
        <v>636</v>
      </c>
      <c r="H38" t="s">
        <v>603</v>
      </c>
      <c r="I38" s="45" t="s">
        <v>604</v>
      </c>
      <c r="J38" t="s">
        <v>611</v>
      </c>
    </row>
    <row r="39" spans="2:10" x14ac:dyDescent="0.3">
      <c r="B39" s="45" t="s">
        <v>450</v>
      </c>
      <c r="C39" s="45" t="s">
        <v>637</v>
      </c>
      <c r="D39" s="45" t="s">
        <v>619</v>
      </c>
      <c r="E39" s="45" t="s">
        <v>620</v>
      </c>
      <c r="F39" s="45" t="s">
        <v>638</v>
      </c>
      <c r="G39" s="45" t="s">
        <v>639</v>
      </c>
      <c r="H39" t="s">
        <v>603</v>
      </c>
      <c r="I39" s="45" t="s">
        <v>604</v>
      </c>
      <c r="J39" t="s">
        <v>617</v>
      </c>
    </row>
    <row r="40" spans="2:10" x14ac:dyDescent="0.3">
      <c r="B40" s="45" t="s">
        <v>455</v>
      </c>
      <c r="C40" s="45" t="s">
        <v>704</v>
      </c>
      <c r="D40" s="45" t="s">
        <v>705</v>
      </c>
      <c r="E40" s="45" t="s">
        <v>706</v>
      </c>
      <c r="F40" s="45" t="s">
        <v>601</v>
      </c>
      <c r="G40" s="45" t="s">
        <v>707</v>
      </c>
      <c r="H40" t="s">
        <v>638</v>
      </c>
      <c r="I40" s="45" t="s">
        <v>604</v>
      </c>
      <c r="J40" t="s">
        <v>682</v>
      </c>
    </row>
    <row r="41" spans="2:10" x14ac:dyDescent="0.3">
      <c r="B41" s="45" t="s">
        <v>453</v>
      </c>
      <c r="C41" s="45" t="s">
        <v>640</v>
      </c>
      <c r="D41" s="45" t="s">
        <v>641</v>
      </c>
      <c r="E41" s="45" t="s">
        <v>620</v>
      </c>
      <c r="F41" s="45" t="s">
        <v>609</v>
      </c>
      <c r="G41" s="45" t="s">
        <v>642</v>
      </c>
      <c r="H41" t="s">
        <v>603</v>
      </c>
      <c r="I41" s="45" t="s">
        <v>604</v>
      </c>
      <c r="J41" t="s">
        <v>617</v>
      </c>
    </row>
    <row r="42" spans="2:10" x14ac:dyDescent="0.3">
      <c r="B42" s="45" t="s">
        <v>473</v>
      </c>
      <c r="C42" s="45" t="s">
        <v>674</v>
      </c>
      <c r="D42" s="45" t="s">
        <v>677</v>
      </c>
      <c r="E42" s="45" t="s">
        <v>620</v>
      </c>
      <c r="F42" s="45" t="s">
        <v>601</v>
      </c>
      <c r="G42" s="45" t="s">
        <v>603</v>
      </c>
      <c r="H42" t="s">
        <v>638</v>
      </c>
      <c r="I42" s="45" t="s">
        <v>604</v>
      </c>
      <c r="J42" t="s">
        <v>679</v>
      </c>
    </row>
    <row r="43" spans="2:10" x14ac:dyDescent="0.3">
      <c r="B43" s="45" t="s">
        <v>462</v>
      </c>
      <c r="C43" s="45" t="s">
        <v>637</v>
      </c>
      <c r="D43" s="45" t="s">
        <v>708</v>
      </c>
      <c r="E43" s="45" t="s">
        <v>706</v>
      </c>
      <c r="F43" s="45" t="s">
        <v>601</v>
      </c>
      <c r="G43" s="45" t="s">
        <v>603</v>
      </c>
      <c r="H43" t="s">
        <v>638</v>
      </c>
      <c r="I43" s="45" t="s">
        <v>604</v>
      </c>
      <c r="J43" t="s">
        <v>682</v>
      </c>
    </row>
    <row r="44" spans="2:10" x14ac:dyDescent="0.3">
      <c r="B44" s="45" t="s">
        <v>441</v>
      </c>
      <c r="C44" s="45" t="s">
        <v>674</v>
      </c>
      <c r="D44" s="45" t="s">
        <v>675</v>
      </c>
      <c r="E44" s="45" t="s">
        <v>620</v>
      </c>
      <c r="F44" s="45" t="s">
        <v>638</v>
      </c>
      <c r="G44" s="45" t="s">
        <v>709</v>
      </c>
      <c r="H44" t="s">
        <v>638</v>
      </c>
      <c r="I44" s="45" t="s">
        <v>604</v>
      </c>
      <c r="J44" t="s">
        <v>679</v>
      </c>
    </row>
    <row r="45" spans="2:10" x14ac:dyDescent="0.3">
      <c r="B45" s="45" t="s">
        <v>444</v>
      </c>
      <c r="C45" s="45" t="s">
        <v>643</v>
      </c>
      <c r="D45" s="45" t="s">
        <v>635</v>
      </c>
      <c r="E45" s="45" t="s">
        <v>614</v>
      </c>
      <c r="F45" s="45" t="s">
        <v>603</v>
      </c>
      <c r="G45" s="45" t="s">
        <v>644</v>
      </c>
      <c r="H45" t="s">
        <v>603</v>
      </c>
      <c r="I45" s="45" t="s">
        <v>616</v>
      </c>
      <c r="J45" t="s">
        <v>617</v>
      </c>
    </row>
    <row r="46" spans="2:10" x14ac:dyDescent="0.3">
      <c r="B46" s="45" t="s">
        <v>483</v>
      </c>
      <c r="C46" s="45" t="s">
        <v>645</v>
      </c>
      <c r="D46" s="45" t="s">
        <v>646</v>
      </c>
      <c r="E46" s="45" t="s">
        <v>647</v>
      </c>
      <c r="F46" s="45" t="s">
        <v>609</v>
      </c>
      <c r="G46" s="45" t="s">
        <v>648</v>
      </c>
      <c r="H46" t="s">
        <v>603</v>
      </c>
      <c r="I46" s="45" t="s">
        <v>604</v>
      </c>
      <c r="J46" t="s">
        <v>611</v>
      </c>
    </row>
    <row r="47" spans="2:10" x14ac:dyDescent="0.3">
      <c r="B47" s="45" t="s">
        <v>478</v>
      </c>
      <c r="C47" s="45" t="s">
        <v>659</v>
      </c>
      <c r="D47" s="45" t="s">
        <v>607</v>
      </c>
      <c r="E47" s="45" t="s">
        <v>710</v>
      </c>
      <c r="F47" s="45" t="s">
        <v>638</v>
      </c>
      <c r="G47" s="45" t="s">
        <v>711</v>
      </c>
      <c r="H47" t="s">
        <v>638</v>
      </c>
      <c r="I47" s="45" t="s">
        <v>604</v>
      </c>
      <c r="J47" t="s">
        <v>682</v>
      </c>
    </row>
    <row r="48" spans="2:10" x14ac:dyDescent="0.3">
      <c r="B48" s="45" t="s">
        <v>474</v>
      </c>
      <c r="C48" s="45" t="s">
        <v>598</v>
      </c>
      <c r="D48" s="45" t="s">
        <v>599</v>
      </c>
      <c r="E48" s="45" t="s">
        <v>605</v>
      </c>
      <c r="F48" s="45" t="s">
        <v>601</v>
      </c>
      <c r="G48" s="45" t="s">
        <v>602</v>
      </c>
      <c r="H48" t="s">
        <v>603</v>
      </c>
      <c r="I48" s="45" t="s">
        <v>604</v>
      </c>
      <c r="J48" t="s">
        <v>605</v>
      </c>
    </row>
    <row r="49" spans="2:10" x14ac:dyDescent="0.3">
      <c r="B49" s="45" t="s">
        <v>445</v>
      </c>
      <c r="C49" s="45" t="s">
        <v>649</v>
      </c>
      <c r="D49" s="45" t="s">
        <v>650</v>
      </c>
      <c r="E49" s="45" t="s">
        <v>651</v>
      </c>
      <c r="F49" s="45" t="s">
        <v>638</v>
      </c>
      <c r="G49" s="45" t="s">
        <v>652</v>
      </c>
      <c r="H49" t="s">
        <v>603</v>
      </c>
      <c r="I49" s="45" t="s">
        <v>604</v>
      </c>
      <c r="J49" t="s">
        <v>617</v>
      </c>
    </row>
    <row r="50" spans="2:10" x14ac:dyDescent="0.3">
      <c r="B50" s="45" t="s">
        <v>476</v>
      </c>
      <c r="C50" s="45" t="s">
        <v>628</v>
      </c>
      <c r="D50" s="45" t="s">
        <v>653</v>
      </c>
      <c r="E50" s="45" t="s">
        <v>630</v>
      </c>
      <c r="F50" s="45" t="s">
        <v>603</v>
      </c>
      <c r="G50" s="45" t="s">
        <v>654</v>
      </c>
      <c r="H50" t="s">
        <v>603</v>
      </c>
      <c r="I50" s="45" t="s">
        <v>631</v>
      </c>
      <c r="J50" t="s">
        <v>617</v>
      </c>
    </row>
    <row r="51" spans="2:10" x14ac:dyDescent="0.3">
      <c r="B51" s="45" t="s">
        <v>446</v>
      </c>
      <c r="C51" s="45" t="s">
        <v>637</v>
      </c>
      <c r="D51" s="45" t="s">
        <v>619</v>
      </c>
      <c r="E51" s="45" t="s">
        <v>620</v>
      </c>
      <c r="F51" s="45" t="s">
        <v>603</v>
      </c>
      <c r="G51" s="45" t="s">
        <v>712</v>
      </c>
      <c r="H51" t="s">
        <v>638</v>
      </c>
      <c r="I51" s="45" t="s">
        <v>604</v>
      </c>
      <c r="J51" t="s">
        <v>682</v>
      </c>
    </row>
    <row r="52" spans="2:10" x14ac:dyDescent="0.3">
      <c r="B52" s="45" t="s">
        <v>468</v>
      </c>
      <c r="C52" s="45" t="s">
        <v>674</v>
      </c>
      <c r="D52" s="45" t="s">
        <v>683</v>
      </c>
      <c r="E52" s="45" t="s">
        <v>620</v>
      </c>
      <c r="F52" s="45" t="s">
        <v>603</v>
      </c>
      <c r="G52" s="45" t="s">
        <v>713</v>
      </c>
      <c r="H52" t="s">
        <v>638</v>
      </c>
      <c r="I52" s="45" t="s">
        <v>604</v>
      </c>
      <c r="J52" t="s">
        <v>682</v>
      </c>
    </row>
    <row r="53" spans="2:10" x14ac:dyDescent="0.3">
      <c r="B53" s="45" t="s">
        <v>447</v>
      </c>
      <c r="C53" s="45" t="s">
        <v>655</v>
      </c>
      <c r="D53" s="45" t="s">
        <v>656</v>
      </c>
      <c r="E53" s="45" t="s">
        <v>657</v>
      </c>
      <c r="F53" s="45" t="s">
        <v>638</v>
      </c>
      <c r="G53" s="45" t="s">
        <v>658</v>
      </c>
      <c r="H53" t="s">
        <v>603</v>
      </c>
      <c r="I53" s="45" t="s">
        <v>604</v>
      </c>
      <c r="J53" t="s">
        <v>615</v>
      </c>
    </row>
    <row r="54" spans="2:10" x14ac:dyDescent="0.3">
      <c r="B54" s="45" t="s">
        <v>472</v>
      </c>
      <c r="C54" s="45" t="s">
        <v>637</v>
      </c>
      <c r="D54" s="45" t="s">
        <v>691</v>
      </c>
      <c r="E54" s="45" t="s">
        <v>620</v>
      </c>
      <c r="F54" s="45" t="s">
        <v>603</v>
      </c>
      <c r="G54" s="45" t="s">
        <v>714</v>
      </c>
      <c r="H54" t="s">
        <v>638</v>
      </c>
      <c r="I54" s="45" t="s">
        <v>604</v>
      </c>
      <c r="J54" t="s">
        <v>682</v>
      </c>
    </row>
    <row r="55" spans="2:10" x14ac:dyDescent="0.3">
      <c r="B55" s="45" t="s">
        <v>477</v>
      </c>
      <c r="C55" s="45" t="s">
        <v>659</v>
      </c>
      <c r="D55" s="45" t="s">
        <v>607</v>
      </c>
      <c r="E55" s="45" t="s">
        <v>660</v>
      </c>
      <c r="F55" s="45" t="s">
        <v>603</v>
      </c>
      <c r="G55" s="45" t="s">
        <v>661</v>
      </c>
      <c r="H55" t="s">
        <v>603</v>
      </c>
      <c r="I55" s="45" t="s">
        <v>604</v>
      </c>
      <c r="J55" t="s">
        <v>611</v>
      </c>
    </row>
    <row r="56" spans="2:10" x14ac:dyDescent="0.3">
      <c r="B56" s="45" t="s">
        <v>443</v>
      </c>
      <c r="C56" s="45" t="s">
        <v>662</v>
      </c>
      <c r="D56" s="45" t="s">
        <v>663</v>
      </c>
      <c r="E56" s="45" t="s">
        <v>660</v>
      </c>
      <c r="F56" s="45" t="s">
        <v>603</v>
      </c>
      <c r="G56" s="45" t="s">
        <v>664</v>
      </c>
      <c r="H56" t="s">
        <v>603</v>
      </c>
      <c r="I56" s="45" t="s">
        <v>665</v>
      </c>
      <c r="J56" t="s">
        <v>617</v>
      </c>
    </row>
    <row r="57" spans="2:10" x14ac:dyDescent="0.3">
      <c r="B57" s="45" t="s">
        <v>457</v>
      </c>
      <c r="C57" s="45" t="s">
        <v>715</v>
      </c>
      <c r="D57" s="45" t="s">
        <v>716</v>
      </c>
      <c r="E57" s="45" t="s">
        <v>717</v>
      </c>
      <c r="F57" s="45" t="s">
        <v>638</v>
      </c>
      <c r="G57" s="45" t="s">
        <v>718</v>
      </c>
      <c r="H57" t="s">
        <v>638</v>
      </c>
      <c r="I57" s="45" t="s">
        <v>616</v>
      </c>
      <c r="J57" t="s">
        <v>682</v>
      </c>
    </row>
    <row r="58" spans="2:10" x14ac:dyDescent="0.3">
      <c r="B58" s="45" t="s">
        <v>452</v>
      </c>
      <c r="C58" s="45" t="s">
        <v>719</v>
      </c>
      <c r="D58" s="45" t="s">
        <v>720</v>
      </c>
      <c r="E58" s="45" t="s">
        <v>620</v>
      </c>
      <c r="F58" s="45" t="s">
        <v>601</v>
      </c>
      <c r="G58" s="45" t="s">
        <v>603</v>
      </c>
      <c r="H58" t="s">
        <v>638</v>
      </c>
      <c r="I58" s="45" t="s">
        <v>604</v>
      </c>
      <c r="J58" t="s">
        <v>682</v>
      </c>
    </row>
    <row r="59" spans="2:10" x14ac:dyDescent="0.3">
      <c r="B59" s="45" t="s">
        <v>431</v>
      </c>
      <c r="C59" s="45" t="s">
        <v>635</v>
      </c>
      <c r="D59" s="45" t="s">
        <v>635</v>
      </c>
      <c r="E59" s="45" t="s">
        <v>614</v>
      </c>
      <c r="F59" s="45" t="s">
        <v>603</v>
      </c>
      <c r="G59" s="45" t="s">
        <v>666</v>
      </c>
      <c r="H59" t="s">
        <v>603</v>
      </c>
      <c r="I59" s="45" t="s">
        <v>635</v>
      </c>
      <c r="J59" t="s">
        <v>617</v>
      </c>
    </row>
    <row r="60" spans="2:10" x14ac:dyDescent="0.3">
      <c r="B60" s="45" t="s">
        <v>429</v>
      </c>
      <c r="C60" s="45" t="s">
        <v>649</v>
      </c>
      <c r="D60" s="45" t="s">
        <v>721</v>
      </c>
      <c r="E60" s="45" t="s">
        <v>660</v>
      </c>
      <c r="F60" s="45" t="s">
        <v>603</v>
      </c>
      <c r="G60" s="45" t="s">
        <v>664</v>
      </c>
      <c r="H60" t="s">
        <v>638</v>
      </c>
      <c r="I60" s="45" t="s">
        <v>604</v>
      </c>
      <c r="J60" t="s">
        <v>682</v>
      </c>
    </row>
    <row r="61" spans="2:10" x14ac:dyDescent="0.3">
      <c r="B61" s="45" t="s">
        <v>465</v>
      </c>
      <c r="C61" s="45" t="s">
        <v>616</v>
      </c>
      <c r="D61" s="45" t="s">
        <v>635</v>
      </c>
      <c r="E61" s="45" t="s">
        <v>614</v>
      </c>
      <c r="F61" s="45" t="s">
        <v>603</v>
      </c>
      <c r="G61" s="45" t="s">
        <v>667</v>
      </c>
      <c r="H61" t="s">
        <v>603</v>
      </c>
      <c r="I61" s="45" t="s">
        <v>616</v>
      </c>
      <c r="J61" t="s">
        <v>617</v>
      </c>
    </row>
    <row r="62" spans="2:10" x14ac:dyDescent="0.3">
      <c r="B62" s="45" t="s">
        <v>449</v>
      </c>
      <c r="C62" s="45" t="s">
        <v>668</v>
      </c>
      <c r="D62" s="45" t="s">
        <v>669</v>
      </c>
      <c r="E62" s="45" t="s">
        <v>670</v>
      </c>
      <c r="F62" s="45" t="s">
        <v>638</v>
      </c>
      <c r="G62" s="45" t="s">
        <v>671</v>
      </c>
      <c r="H62" t="s">
        <v>603</v>
      </c>
      <c r="I62" s="45" t="s">
        <v>635</v>
      </c>
      <c r="J62" t="s">
        <v>617</v>
      </c>
    </row>
    <row r="63" spans="2:10" x14ac:dyDescent="0.3">
      <c r="B63" s="45" t="s">
        <v>459</v>
      </c>
      <c r="C63" s="45" t="s">
        <v>722</v>
      </c>
      <c r="D63" s="45" t="s">
        <v>698</v>
      </c>
      <c r="E63" s="45" t="s">
        <v>620</v>
      </c>
      <c r="F63" s="45" t="s">
        <v>609</v>
      </c>
      <c r="G63" s="45" t="s">
        <v>723</v>
      </c>
      <c r="H63" t="s">
        <v>638</v>
      </c>
      <c r="I63" s="45" t="s">
        <v>604</v>
      </c>
      <c r="J63" t="s">
        <v>682</v>
      </c>
    </row>
    <row r="64" spans="2:10" x14ac:dyDescent="0.3">
      <c r="B64" s="45" t="s">
        <v>440</v>
      </c>
      <c r="C64" s="45" t="s">
        <v>672</v>
      </c>
      <c r="D64" s="45" t="s">
        <v>635</v>
      </c>
      <c r="E64" s="45" t="s">
        <v>614</v>
      </c>
      <c r="F64" s="45" t="s">
        <v>603</v>
      </c>
      <c r="G64" s="45" t="s">
        <v>673</v>
      </c>
      <c r="H64" t="s">
        <v>603</v>
      </c>
      <c r="I64" s="45" t="s">
        <v>635</v>
      </c>
      <c r="J64" t="s">
        <v>615</v>
      </c>
    </row>
    <row r="65" spans="2:10" x14ac:dyDescent="0.3">
      <c r="B65" s="45" t="s">
        <v>454</v>
      </c>
      <c r="C65" s="45" t="s">
        <v>724</v>
      </c>
      <c r="D65" s="45" t="s">
        <v>725</v>
      </c>
      <c r="E65" s="45" t="s">
        <v>620</v>
      </c>
      <c r="F65" s="45" t="s">
        <v>609</v>
      </c>
      <c r="G65" s="45" t="s">
        <v>726</v>
      </c>
      <c r="H65" t="s">
        <v>638</v>
      </c>
      <c r="I65" s="45" t="s">
        <v>604</v>
      </c>
      <c r="J65" t="s">
        <v>682</v>
      </c>
    </row>
    <row r="66" spans="2:10" x14ac:dyDescent="0.3">
      <c r="B66" s="45" t="s">
        <v>466</v>
      </c>
      <c r="C66" s="45" t="s">
        <v>674</v>
      </c>
      <c r="D66" s="45" t="s">
        <v>683</v>
      </c>
      <c r="E66" s="45" t="s">
        <v>620</v>
      </c>
      <c r="F66" s="45" t="s">
        <v>603</v>
      </c>
      <c r="G66" s="45" t="s">
        <v>667</v>
      </c>
      <c r="H66" t="s">
        <v>638</v>
      </c>
      <c r="I66" s="45" t="s">
        <v>604</v>
      </c>
      <c r="J66" t="s">
        <v>682</v>
      </c>
    </row>
    <row r="67" spans="2:10" x14ac:dyDescent="0.3">
      <c r="B67" s="45" t="s">
        <v>464</v>
      </c>
      <c r="C67" s="45" t="s">
        <v>674</v>
      </c>
      <c r="D67" s="45" t="s">
        <v>675</v>
      </c>
      <c r="E67" s="45" t="s">
        <v>620</v>
      </c>
      <c r="F67" s="45" t="s">
        <v>638</v>
      </c>
      <c r="G67" s="45" t="s">
        <v>676</v>
      </c>
      <c r="H67" t="s">
        <v>603</v>
      </c>
      <c r="I67" s="45" t="s">
        <v>604</v>
      </c>
      <c r="J67" t="s">
        <v>617</v>
      </c>
    </row>
    <row r="68" spans="2:10" x14ac:dyDescent="0.3">
      <c r="B68" s="45" t="s">
        <v>432</v>
      </c>
      <c r="C68" s="45" t="s">
        <v>674</v>
      </c>
      <c r="D68" s="45" t="s">
        <v>683</v>
      </c>
      <c r="E68" s="45" t="s">
        <v>620</v>
      </c>
      <c r="F68" s="45" t="s">
        <v>603</v>
      </c>
      <c r="G68" s="45" t="s">
        <v>727</v>
      </c>
      <c r="H68" t="s">
        <v>638</v>
      </c>
      <c r="I68" s="45" t="s">
        <v>604</v>
      </c>
      <c r="J68" t="s">
        <v>679</v>
      </c>
    </row>
    <row r="69" spans="2:10" x14ac:dyDescent="0.3">
      <c r="B69" s="45" t="s">
        <v>471</v>
      </c>
      <c r="C69" s="45" t="s">
        <v>728</v>
      </c>
      <c r="D69" s="45" t="s">
        <v>683</v>
      </c>
      <c r="E69" s="45" t="s">
        <v>614</v>
      </c>
      <c r="F69" s="45" t="s">
        <v>638</v>
      </c>
      <c r="G69" s="45" t="s">
        <v>729</v>
      </c>
      <c r="H69" t="s">
        <v>638</v>
      </c>
      <c r="I69" s="45" t="s">
        <v>616</v>
      </c>
      <c r="J69" t="s">
        <v>679</v>
      </c>
    </row>
    <row r="73" spans="2:10" x14ac:dyDescent="0.3">
      <c r="B73" s="44" t="s">
        <v>765</v>
      </c>
    </row>
    <row r="74" spans="2:10" x14ac:dyDescent="0.3">
      <c r="B74" s="42"/>
      <c r="C74" s="42"/>
      <c r="D74" s="2"/>
    </row>
    <row r="75" spans="2:10" x14ac:dyDescent="0.3">
      <c r="B75" s="42" t="s">
        <v>590</v>
      </c>
      <c r="C75" s="43" t="s">
        <v>766</v>
      </c>
      <c r="D75" s="2"/>
    </row>
    <row r="76" spans="2:10" x14ac:dyDescent="0.3">
      <c r="B76" s="47" t="s">
        <v>591</v>
      </c>
      <c r="C76" s="48" t="s">
        <v>767</v>
      </c>
      <c r="D76" s="2"/>
    </row>
    <row r="77" spans="2:10" x14ac:dyDescent="0.3">
      <c r="B77" s="47" t="s">
        <v>592</v>
      </c>
      <c r="C77" s="48" t="s">
        <v>768</v>
      </c>
      <c r="D77" s="2"/>
    </row>
    <row r="78" spans="2:10" x14ac:dyDescent="0.3">
      <c r="B78" s="47" t="s">
        <v>593</v>
      </c>
      <c r="C78" s="48" t="s">
        <v>769</v>
      </c>
      <c r="D78" s="2"/>
    </row>
    <row r="79" spans="2:10" x14ac:dyDescent="0.3">
      <c r="B79" s="47" t="s">
        <v>594</v>
      </c>
      <c r="C79" s="48" t="s">
        <v>770</v>
      </c>
      <c r="D79" s="2"/>
    </row>
    <row r="80" spans="2:10" x14ac:dyDescent="0.3">
      <c r="B80" s="47" t="s">
        <v>595</v>
      </c>
      <c r="C80" s="48" t="s">
        <v>771</v>
      </c>
      <c r="D80" s="2"/>
    </row>
    <row r="81" spans="2:5" x14ac:dyDescent="0.3">
      <c r="B81" s="47" t="s">
        <v>596</v>
      </c>
      <c r="C81" s="48" t="s">
        <v>772</v>
      </c>
      <c r="D81" s="2"/>
    </row>
    <row r="82" spans="2:5" x14ac:dyDescent="0.3">
      <c r="B82" s="47" t="s">
        <v>597</v>
      </c>
      <c r="C82" s="48" t="s">
        <v>773</v>
      </c>
      <c r="D82" s="2"/>
    </row>
    <row r="85" spans="2:5" x14ac:dyDescent="0.3">
      <c r="B85" s="58" t="s">
        <v>782</v>
      </c>
      <c r="C85" s="58"/>
      <c r="D85" s="58"/>
    </row>
    <row r="86" spans="2:5" x14ac:dyDescent="0.3">
      <c r="B86" s="41" t="s">
        <v>774</v>
      </c>
      <c r="C86" s="41" t="s">
        <v>775</v>
      </c>
    </row>
    <row r="87" spans="2:5" x14ac:dyDescent="0.3">
      <c r="B87" s="49" t="s">
        <v>776</v>
      </c>
      <c r="C87" s="49" t="s">
        <v>777</v>
      </c>
    </row>
    <row r="88" spans="2:5" x14ac:dyDescent="0.3">
      <c r="B88" s="49" t="s">
        <v>778</v>
      </c>
      <c r="C88" s="49" t="s">
        <v>682</v>
      </c>
    </row>
    <row r="89" spans="2:5" x14ac:dyDescent="0.3">
      <c r="B89" s="49" t="s">
        <v>779</v>
      </c>
      <c r="C89" s="49" t="s">
        <v>617</v>
      </c>
    </row>
    <row r="90" spans="2:5" x14ac:dyDescent="0.3">
      <c r="B90" s="49" t="s">
        <v>780</v>
      </c>
      <c r="C90" s="49" t="s">
        <v>679</v>
      </c>
    </row>
    <row r="91" spans="2:5" x14ac:dyDescent="0.3">
      <c r="B91" s="49" t="s">
        <v>781</v>
      </c>
      <c r="C91" s="49" t="s">
        <v>615</v>
      </c>
    </row>
    <row r="93" spans="2:5" ht="27" customHeight="1" x14ac:dyDescent="0.3">
      <c r="B93" s="59" t="s">
        <v>784</v>
      </c>
      <c r="C93" s="59"/>
      <c r="D93" s="59"/>
      <c r="E93" s="59"/>
    </row>
    <row r="94" spans="2:5" ht="100.05" customHeight="1" x14ac:dyDescent="0.3">
      <c r="B94" s="42" t="s">
        <v>783</v>
      </c>
      <c r="C94" s="57" t="s">
        <v>787</v>
      </c>
      <c r="D94" s="57"/>
      <c r="E94" s="57"/>
    </row>
    <row r="95" spans="2:5" ht="74.400000000000006" customHeight="1" x14ac:dyDescent="0.3">
      <c r="B95" s="42" t="s">
        <v>785</v>
      </c>
      <c r="C95" s="57" t="s">
        <v>788</v>
      </c>
      <c r="D95" s="57"/>
      <c r="E95" s="57"/>
    </row>
    <row r="96" spans="2:5" ht="78.599999999999994" customHeight="1" x14ac:dyDescent="0.3">
      <c r="B96" s="42" t="s">
        <v>786</v>
      </c>
      <c r="C96" s="57" t="s">
        <v>789</v>
      </c>
      <c r="D96" s="57"/>
      <c r="E96" s="57"/>
    </row>
    <row r="97" spans="2:5" ht="72.599999999999994" customHeight="1" x14ac:dyDescent="0.3">
      <c r="B97" s="42" t="s">
        <v>790</v>
      </c>
      <c r="C97" s="57" t="s">
        <v>791</v>
      </c>
      <c r="D97" s="57"/>
      <c r="E97" s="57"/>
    </row>
    <row r="98" spans="2:5" ht="76.2" customHeight="1" x14ac:dyDescent="0.3">
      <c r="B98" s="42" t="s">
        <v>792</v>
      </c>
      <c r="C98" s="57" t="s">
        <v>797</v>
      </c>
      <c r="D98" s="57"/>
      <c r="E98" s="57"/>
    </row>
    <row r="99" spans="2:5" ht="78" customHeight="1" x14ac:dyDescent="0.3">
      <c r="B99" s="50" t="s">
        <v>793</v>
      </c>
      <c r="C99" s="57" t="s">
        <v>796</v>
      </c>
      <c r="D99" s="57"/>
      <c r="E99" s="57"/>
    </row>
    <row r="100" spans="2:5" ht="74.400000000000006" customHeight="1" x14ac:dyDescent="0.3">
      <c r="B100" s="50" t="s">
        <v>794</v>
      </c>
      <c r="C100" s="57" t="s">
        <v>795</v>
      </c>
      <c r="D100" s="57"/>
      <c r="E100" s="57"/>
    </row>
    <row r="101" spans="2:5" ht="70.2" customHeight="1" x14ac:dyDescent="0.3">
      <c r="B101" s="50"/>
      <c r="C101" s="57"/>
      <c r="D101" s="57"/>
      <c r="E101" s="57"/>
    </row>
  </sheetData>
  <autoFilter ref="B10:J69" xr:uid="{B7C8B791-DBC3-4CED-BDCD-1388EF8E07A1}">
    <sortState xmlns:xlrd2="http://schemas.microsoft.com/office/spreadsheetml/2017/richdata2" ref="B11:J69">
      <sortCondition ref="B10"/>
    </sortState>
  </autoFilter>
  <mergeCells count="10">
    <mergeCell ref="C100:E100"/>
    <mergeCell ref="B85:D85"/>
    <mergeCell ref="B93:E93"/>
    <mergeCell ref="C101:E101"/>
    <mergeCell ref="C94:E94"/>
    <mergeCell ref="C95:E95"/>
    <mergeCell ref="C96:E96"/>
    <mergeCell ref="C97:E97"/>
    <mergeCell ref="C98:E98"/>
    <mergeCell ref="C99:E9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6832-643A-4AF0-9C9C-42A46FBCBCE7}">
  <dimension ref="B1:Z177"/>
  <sheetViews>
    <sheetView showGridLines="0" workbookViewId="0">
      <selection activeCell="H35" sqref="H35"/>
    </sheetView>
  </sheetViews>
  <sheetFormatPr defaultColWidth="45.77734375" defaultRowHeight="14.4" outlineLevelRow="1" x14ac:dyDescent="0.3"/>
  <cols>
    <col min="1" max="1" width="2.88671875" style="2" customWidth="1"/>
    <col min="2" max="2" width="20" style="2" customWidth="1"/>
    <col min="3" max="14" width="15.77734375" style="2" customWidth="1"/>
    <col min="15" max="16384" width="45.77734375" style="2"/>
  </cols>
  <sheetData>
    <row r="1" spans="2:26" ht="18" x14ac:dyDescent="0.35">
      <c r="B1" s="36" t="s">
        <v>733</v>
      </c>
      <c r="C1" s="37"/>
      <c r="D1" s="37"/>
      <c r="E1" s="37"/>
      <c r="F1" s="37"/>
      <c r="G1" s="37"/>
      <c r="H1" s="37"/>
      <c r="I1" s="37"/>
      <c r="J1" s="37"/>
      <c r="K1" s="37"/>
      <c r="L1" s="37"/>
      <c r="M1" s="37"/>
      <c r="N1" s="37"/>
      <c r="O1" s="37"/>
    </row>
    <row r="2" spans="2:26" x14ac:dyDescent="0.3">
      <c r="B2" s="40" t="s">
        <v>734</v>
      </c>
      <c r="C2" s="37"/>
      <c r="D2" s="37"/>
      <c r="E2" s="37"/>
      <c r="F2" s="37"/>
      <c r="G2" s="37"/>
      <c r="H2" s="37"/>
      <c r="I2" s="37"/>
      <c r="J2" s="37"/>
      <c r="K2" s="37"/>
      <c r="L2" s="37"/>
      <c r="M2" s="37"/>
      <c r="N2" s="37"/>
      <c r="O2" s="37"/>
    </row>
    <row r="3" spans="2:26" outlineLevel="1" x14ac:dyDescent="0.3"/>
    <row r="4" spans="2:26" outlineLevel="1" x14ac:dyDescent="0.3">
      <c r="B4" s="4" t="s">
        <v>735</v>
      </c>
      <c r="C4" s="4" t="s">
        <v>28</v>
      </c>
      <c r="D4" s="4" t="s">
        <v>51</v>
      </c>
      <c r="E4" s="4" t="s">
        <v>30</v>
      </c>
      <c r="F4" s="4" t="s">
        <v>31</v>
      </c>
      <c r="G4" s="4" t="s">
        <v>52</v>
      </c>
      <c r="H4" s="4" t="s">
        <v>18</v>
      </c>
      <c r="I4" s="4" t="s">
        <v>53</v>
      </c>
      <c r="J4" s="4" t="s">
        <v>54</v>
      </c>
      <c r="K4" s="4" t="s">
        <v>55</v>
      </c>
      <c r="L4" s="4" t="s">
        <v>57</v>
      </c>
      <c r="M4" s="4" t="s">
        <v>50</v>
      </c>
      <c r="N4" s="4" t="s">
        <v>51</v>
      </c>
    </row>
    <row r="5" spans="2:26" outlineLevel="1" x14ac:dyDescent="0.3">
      <c r="B5" s="2" t="s">
        <v>736</v>
      </c>
      <c r="C5" s="2" t="s">
        <v>425</v>
      </c>
      <c r="D5" s="2" t="s">
        <v>60</v>
      </c>
      <c r="E5" s="2" t="s">
        <v>61</v>
      </c>
      <c r="F5" s="2" t="s">
        <v>62</v>
      </c>
      <c r="G5" s="2">
        <v>1.01</v>
      </c>
      <c r="H5" s="2">
        <v>13.04</v>
      </c>
      <c r="I5" s="2" t="s">
        <v>63</v>
      </c>
      <c r="J5" s="3">
        <v>7.5999999999999998E-2</v>
      </c>
      <c r="K5" s="3">
        <v>2.6599999999999999E-2</v>
      </c>
      <c r="L5" s="2" t="s">
        <v>65</v>
      </c>
      <c r="M5" s="2" t="s">
        <v>58</v>
      </c>
      <c r="N5" s="2" t="s">
        <v>60</v>
      </c>
      <c r="V5" s="3"/>
      <c r="W5" s="3"/>
      <c r="X5" s="3"/>
      <c r="Y5" s="3"/>
      <c r="Z5" s="3"/>
    </row>
    <row r="6" spans="2:26" outlineLevel="1" x14ac:dyDescent="0.3">
      <c r="B6" s="2" t="s">
        <v>66</v>
      </c>
      <c r="C6" s="2" t="s">
        <v>67</v>
      </c>
      <c r="D6" s="2" t="s">
        <v>68</v>
      </c>
      <c r="E6" s="2" t="s">
        <v>69</v>
      </c>
      <c r="F6" s="2" t="s">
        <v>70</v>
      </c>
      <c r="G6" s="2">
        <v>1.39</v>
      </c>
      <c r="H6" s="2">
        <v>22.29</v>
      </c>
      <c r="I6" s="2" t="s">
        <v>71</v>
      </c>
      <c r="J6" s="2" t="s">
        <v>72</v>
      </c>
      <c r="K6" s="3">
        <v>0</v>
      </c>
      <c r="L6" s="2" t="s">
        <v>73</v>
      </c>
      <c r="M6" s="2" t="s">
        <v>66</v>
      </c>
      <c r="N6" s="2" t="s">
        <v>68</v>
      </c>
      <c r="R6" s="3"/>
      <c r="S6" s="3"/>
      <c r="T6" s="3"/>
      <c r="U6" s="3"/>
      <c r="V6" s="3"/>
      <c r="W6" s="3"/>
      <c r="X6" s="3"/>
      <c r="Y6" s="3"/>
      <c r="Z6" s="3"/>
    </row>
    <row r="7" spans="2:26" outlineLevel="1" x14ac:dyDescent="0.3">
      <c r="B7" s="2" t="s">
        <v>277</v>
      </c>
      <c r="C7" s="2" t="s">
        <v>278</v>
      </c>
      <c r="D7" s="2" t="s">
        <v>279</v>
      </c>
      <c r="E7" s="2" t="s">
        <v>280</v>
      </c>
      <c r="F7" s="2" t="s">
        <v>281</v>
      </c>
      <c r="G7" s="2">
        <v>0.76</v>
      </c>
      <c r="H7" s="2">
        <v>16.28</v>
      </c>
      <c r="I7" s="2" t="s">
        <v>282</v>
      </c>
      <c r="J7" s="2" t="s">
        <v>283</v>
      </c>
      <c r="K7" s="3">
        <v>3.3399999999999999E-2</v>
      </c>
      <c r="L7" s="2" t="s">
        <v>65</v>
      </c>
      <c r="M7" s="2" t="s">
        <v>277</v>
      </c>
      <c r="N7" s="2" t="s">
        <v>279</v>
      </c>
      <c r="V7" s="3"/>
      <c r="W7" s="3"/>
      <c r="X7" s="3"/>
      <c r="Y7" s="3"/>
      <c r="Z7" s="3"/>
    </row>
    <row r="8" spans="2:26" outlineLevel="1" x14ac:dyDescent="0.3">
      <c r="B8" s="2" t="s">
        <v>74</v>
      </c>
      <c r="C8" s="2" t="s">
        <v>75</v>
      </c>
      <c r="D8" s="2" t="s">
        <v>76</v>
      </c>
      <c r="E8" s="2" t="s">
        <v>77</v>
      </c>
      <c r="F8" s="2" t="s">
        <v>78</v>
      </c>
      <c r="G8" s="2">
        <v>0.84</v>
      </c>
      <c r="H8" s="2">
        <v>79.59</v>
      </c>
      <c r="I8" s="2" t="s">
        <v>79</v>
      </c>
      <c r="J8" s="3">
        <v>0.80459999999999998</v>
      </c>
      <c r="K8" s="3">
        <v>0</v>
      </c>
      <c r="L8" s="2" t="s">
        <v>73</v>
      </c>
      <c r="M8" s="2" t="s">
        <v>74</v>
      </c>
      <c r="N8" s="2" t="s">
        <v>76</v>
      </c>
      <c r="R8" s="3"/>
      <c r="W8" s="3"/>
      <c r="X8" s="3"/>
      <c r="Y8" s="3"/>
      <c r="Z8" s="3"/>
    </row>
    <row r="9" spans="2:26" outlineLevel="1" x14ac:dyDescent="0.3">
      <c r="B9" s="2" t="s">
        <v>80</v>
      </c>
      <c r="C9" s="2" t="s">
        <v>81</v>
      </c>
      <c r="D9" s="2" t="s">
        <v>82</v>
      </c>
      <c r="E9" s="2" t="s">
        <v>83</v>
      </c>
      <c r="F9" s="2" t="s">
        <v>84</v>
      </c>
      <c r="G9" s="2">
        <v>1.53</v>
      </c>
      <c r="H9" s="2">
        <v>29.5</v>
      </c>
      <c r="I9" s="2" t="s">
        <v>85</v>
      </c>
      <c r="J9" s="3">
        <v>8.2900000000000001E-2</v>
      </c>
      <c r="K9" s="3">
        <v>5.8999999999999999E-3</v>
      </c>
      <c r="L9" s="2" t="s">
        <v>86</v>
      </c>
      <c r="M9" s="2" t="s">
        <v>80</v>
      </c>
      <c r="N9" s="2" t="s">
        <v>82</v>
      </c>
      <c r="V9" s="3"/>
      <c r="W9" s="3"/>
      <c r="X9" s="3"/>
      <c r="Y9" s="3"/>
      <c r="Z9" s="3"/>
    </row>
    <row r="10" spans="2:26" outlineLevel="1" x14ac:dyDescent="0.3">
      <c r="B10" s="2" t="s">
        <v>87</v>
      </c>
      <c r="C10" s="2" t="s">
        <v>88</v>
      </c>
      <c r="D10" s="2" t="s">
        <v>89</v>
      </c>
      <c r="E10" s="2" t="s">
        <v>90</v>
      </c>
      <c r="F10" s="2" t="s">
        <v>91</v>
      </c>
      <c r="G10" s="2">
        <v>1.65</v>
      </c>
      <c r="H10" s="2">
        <v>51.16</v>
      </c>
      <c r="I10" s="2" t="s">
        <v>92</v>
      </c>
      <c r="J10" s="3">
        <v>3.2812999999999999</v>
      </c>
      <c r="K10" s="3">
        <v>0</v>
      </c>
      <c r="L10" s="2" t="s">
        <v>73</v>
      </c>
      <c r="M10" s="2" t="s">
        <v>87</v>
      </c>
      <c r="N10" s="2" t="s">
        <v>89</v>
      </c>
      <c r="R10" s="3"/>
      <c r="S10" s="3"/>
      <c r="T10" s="3"/>
      <c r="U10" s="3"/>
      <c r="V10" s="3"/>
      <c r="W10" s="3"/>
      <c r="X10" s="3"/>
      <c r="Y10" s="3"/>
      <c r="Z10" s="3"/>
    </row>
    <row r="11" spans="2:26" outlineLevel="1" x14ac:dyDescent="0.3">
      <c r="B11" s="2" t="s">
        <v>348</v>
      </c>
      <c r="C11" s="2" t="s">
        <v>349</v>
      </c>
      <c r="D11" s="2" t="s">
        <v>350</v>
      </c>
      <c r="E11" s="2" t="s">
        <v>351</v>
      </c>
      <c r="F11" s="2" t="s">
        <v>352</v>
      </c>
      <c r="G11" s="2">
        <v>0.75</v>
      </c>
      <c r="H11" s="2">
        <v>10.050000000000001</v>
      </c>
      <c r="I11" s="2" t="s">
        <v>353</v>
      </c>
      <c r="J11" s="2" t="s">
        <v>354</v>
      </c>
      <c r="K11" s="3">
        <v>4.41E-2</v>
      </c>
      <c r="L11" s="2" t="s">
        <v>65</v>
      </c>
      <c r="M11" s="2" t="s">
        <v>348</v>
      </c>
      <c r="N11" s="2" t="s">
        <v>350</v>
      </c>
      <c r="V11" s="3"/>
      <c r="W11" s="3"/>
      <c r="X11" s="3"/>
      <c r="Y11" s="3"/>
      <c r="Z11" s="3"/>
    </row>
    <row r="12" spans="2:26" outlineLevel="1" x14ac:dyDescent="0.3">
      <c r="B12" s="2" t="s">
        <v>93</v>
      </c>
      <c r="C12" s="2" t="s">
        <v>94</v>
      </c>
      <c r="D12" s="2" t="s">
        <v>95</v>
      </c>
      <c r="E12" s="2" t="s">
        <v>96</v>
      </c>
      <c r="F12" s="2" t="s">
        <v>97</v>
      </c>
      <c r="G12" s="2">
        <v>0.24</v>
      </c>
      <c r="H12" s="2" t="s">
        <v>43</v>
      </c>
      <c r="I12" s="2" t="s">
        <v>43</v>
      </c>
      <c r="J12" s="2" t="s">
        <v>43</v>
      </c>
      <c r="K12" s="3">
        <v>0</v>
      </c>
      <c r="L12" s="2" t="s">
        <v>86</v>
      </c>
      <c r="M12" s="2" t="s">
        <v>93</v>
      </c>
      <c r="N12" s="2" t="s">
        <v>95</v>
      </c>
      <c r="S12" s="3"/>
      <c r="T12" s="3"/>
      <c r="U12" s="3"/>
      <c r="V12" s="3"/>
      <c r="W12" s="3"/>
      <c r="X12" s="3"/>
      <c r="Y12" s="3"/>
      <c r="Z12" s="3"/>
    </row>
    <row r="13" spans="2:26" outlineLevel="1" x14ac:dyDescent="0.3">
      <c r="B13" s="2" t="s">
        <v>98</v>
      </c>
      <c r="C13" s="2" t="s">
        <v>99</v>
      </c>
      <c r="D13" s="2" t="s">
        <v>100</v>
      </c>
      <c r="E13" s="2" t="s">
        <v>101</v>
      </c>
      <c r="F13" s="2" t="s">
        <v>102</v>
      </c>
      <c r="G13" s="2">
        <v>1.04</v>
      </c>
      <c r="H13" s="2">
        <v>39.18</v>
      </c>
      <c r="I13" s="2" t="s">
        <v>103</v>
      </c>
      <c r="J13" s="3">
        <v>1.4500000000000001E-2</v>
      </c>
      <c r="K13" s="3">
        <v>4.3E-3</v>
      </c>
      <c r="L13" s="2" t="s">
        <v>65</v>
      </c>
      <c r="M13" s="2" t="s">
        <v>98</v>
      </c>
      <c r="N13" s="2" t="s">
        <v>100</v>
      </c>
      <c r="V13" s="3"/>
      <c r="W13" s="3"/>
      <c r="X13" s="3"/>
      <c r="Y13" s="3"/>
      <c r="Z13" s="3"/>
    </row>
    <row r="14" spans="2:26" outlineLevel="1" x14ac:dyDescent="0.3">
      <c r="B14" s="2" t="s">
        <v>104</v>
      </c>
      <c r="C14" s="2" t="s">
        <v>105</v>
      </c>
      <c r="D14" s="2" t="s">
        <v>106</v>
      </c>
      <c r="E14" s="2" t="s">
        <v>107</v>
      </c>
      <c r="F14" s="2" t="s">
        <v>108</v>
      </c>
      <c r="G14" s="2">
        <v>0.91</v>
      </c>
      <c r="H14" s="2">
        <v>24.21</v>
      </c>
      <c r="I14" s="2" t="s">
        <v>109</v>
      </c>
      <c r="J14" s="3">
        <v>6.4500000000000002E-2</v>
      </c>
      <c r="K14" s="3">
        <v>2.4799999999999999E-2</v>
      </c>
      <c r="L14" s="2" t="s">
        <v>86</v>
      </c>
      <c r="M14" s="2" t="s">
        <v>104</v>
      </c>
      <c r="N14" s="2" t="s">
        <v>106</v>
      </c>
      <c r="P14" s="3"/>
      <c r="V14" s="3"/>
      <c r="W14" s="3"/>
      <c r="X14" s="3"/>
      <c r="Y14" s="3"/>
      <c r="Z14" s="3"/>
    </row>
    <row r="15" spans="2:26" outlineLevel="1" x14ac:dyDescent="0.3">
      <c r="B15" s="2" t="s">
        <v>284</v>
      </c>
      <c r="C15" s="2" t="s">
        <v>285</v>
      </c>
      <c r="D15" s="2" t="s">
        <v>286</v>
      </c>
      <c r="E15" s="2" t="s">
        <v>287</v>
      </c>
      <c r="F15" s="2" t="s">
        <v>288</v>
      </c>
      <c r="G15" s="2">
        <v>0.73</v>
      </c>
      <c r="H15" s="2">
        <v>124.96</v>
      </c>
      <c r="I15" s="2" t="s">
        <v>289</v>
      </c>
      <c r="J15" s="2" t="s">
        <v>43</v>
      </c>
      <c r="K15" s="3">
        <v>0</v>
      </c>
      <c r="L15" s="2" t="s">
        <v>86</v>
      </c>
      <c r="M15" s="2" t="s">
        <v>284</v>
      </c>
      <c r="N15" s="2" t="s">
        <v>286</v>
      </c>
      <c r="Y15" s="3"/>
      <c r="Z15" s="3"/>
    </row>
    <row r="16" spans="2:26" outlineLevel="1" x14ac:dyDescent="0.3">
      <c r="B16" s="2" t="s">
        <v>355</v>
      </c>
      <c r="C16" s="2" t="s">
        <v>356</v>
      </c>
      <c r="D16" s="2" t="s">
        <v>357</v>
      </c>
      <c r="E16" s="2" t="s">
        <v>358</v>
      </c>
      <c r="F16" s="2" t="s">
        <v>359</v>
      </c>
      <c r="G16" s="2">
        <v>2.2200000000000002</v>
      </c>
      <c r="H16" s="2">
        <v>101.43</v>
      </c>
      <c r="I16" s="2" t="s">
        <v>360</v>
      </c>
      <c r="J16" s="2" t="s">
        <v>361</v>
      </c>
      <c r="K16" s="3">
        <v>4.0000000000000002E-4</v>
      </c>
      <c r="L16" s="2" t="s">
        <v>86</v>
      </c>
      <c r="M16" s="2" t="s">
        <v>355</v>
      </c>
      <c r="N16" s="2" t="s">
        <v>357</v>
      </c>
      <c r="V16" s="3"/>
      <c r="W16" s="3"/>
      <c r="X16" s="3"/>
      <c r="Y16" s="3"/>
      <c r="Z16" s="3"/>
    </row>
    <row r="17" spans="2:26" outlineLevel="1" x14ac:dyDescent="0.3">
      <c r="B17" s="2" t="s">
        <v>110</v>
      </c>
      <c r="C17" s="2" t="s">
        <v>111</v>
      </c>
      <c r="D17" s="2" t="s">
        <v>112</v>
      </c>
      <c r="E17" s="2" t="s">
        <v>113</v>
      </c>
      <c r="F17" s="2" t="s">
        <v>114</v>
      </c>
      <c r="G17" s="2">
        <v>0.93</v>
      </c>
      <c r="H17" s="2">
        <v>21.04</v>
      </c>
      <c r="I17" s="2" t="s">
        <v>115</v>
      </c>
      <c r="J17" s="3">
        <v>0.27829999999999999</v>
      </c>
      <c r="K17" s="3">
        <v>1.4800000000000001E-2</v>
      </c>
      <c r="L17" s="2" t="s">
        <v>86</v>
      </c>
      <c r="M17" s="2" t="s">
        <v>110</v>
      </c>
      <c r="N17" s="2" t="s">
        <v>112</v>
      </c>
      <c r="V17" s="3"/>
      <c r="W17" s="3"/>
      <c r="X17" s="3"/>
      <c r="Y17" s="3"/>
      <c r="Z17" s="3"/>
    </row>
    <row r="18" spans="2:26" outlineLevel="1" x14ac:dyDescent="0.3">
      <c r="B18" s="2" t="s">
        <v>362</v>
      </c>
      <c r="C18" s="2" t="s">
        <v>363</v>
      </c>
      <c r="D18" s="2" t="s">
        <v>364</v>
      </c>
      <c r="E18" s="2" t="s">
        <v>365</v>
      </c>
      <c r="F18" s="2" t="s">
        <v>366</v>
      </c>
      <c r="G18" s="2">
        <v>0.5</v>
      </c>
      <c r="H18" s="2">
        <v>11.07</v>
      </c>
      <c r="I18" s="2" t="s">
        <v>367</v>
      </c>
      <c r="J18" s="2" t="s">
        <v>368</v>
      </c>
      <c r="K18" s="3">
        <v>3.6400000000000002E-2</v>
      </c>
      <c r="L18" s="2" t="s">
        <v>86</v>
      </c>
      <c r="M18" s="2" t="s">
        <v>362</v>
      </c>
      <c r="N18" s="2" t="s">
        <v>364</v>
      </c>
      <c r="V18" s="3"/>
      <c r="W18" s="3"/>
      <c r="X18" s="3"/>
      <c r="Y18" s="3"/>
      <c r="Z18" s="3"/>
    </row>
    <row r="19" spans="2:26" outlineLevel="1" x14ac:dyDescent="0.3">
      <c r="B19" s="2" t="s">
        <v>116</v>
      </c>
      <c r="C19" s="2" t="s">
        <v>117</v>
      </c>
      <c r="D19" s="2" t="s">
        <v>118</v>
      </c>
      <c r="E19" s="2" t="s">
        <v>119</v>
      </c>
      <c r="F19" s="2" t="s">
        <v>120</v>
      </c>
      <c r="G19" s="2">
        <v>1.08</v>
      </c>
      <c r="H19" s="2">
        <v>12.57</v>
      </c>
      <c r="I19" s="2" t="s">
        <v>121</v>
      </c>
      <c r="J19" s="3">
        <v>0.42309999999999998</v>
      </c>
      <c r="K19" s="3">
        <v>1.2500000000000001E-2</v>
      </c>
      <c r="L19" s="2" t="s">
        <v>73</v>
      </c>
      <c r="M19" s="2" t="s">
        <v>116</v>
      </c>
      <c r="N19" s="2" t="s">
        <v>118</v>
      </c>
      <c r="R19" s="3"/>
      <c r="V19" s="3"/>
      <c r="W19" s="3"/>
      <c r="X19" s="3"/>
      <c r="Y19" s="3"/>
      <c r="Z19" s="3"/>
    </row>
    <row r="20" spans="2:26" outlineLevel="1" x14ac:dyDescent="0.3">
      <c r="B20" s="2" t="s">
        <v>122</v>
      </c>
      <c r="C20" s="2" t="s">
        <v>123</v>
      </c>
      <c r="D20" s="2" t="s">
        <v>124</v>
      </c>
      <c r="E20" s="2" t="s">
        <v>125</v>
      </c>
      <c r="F20" s="2" t="s">
        <v>126</v>
      </c>
      <c r="G20" s="2">
        <v>1.88</v>
      </c>
      <c r="H20" s="2">
        <v>50.28</v>
      </c>
      <c r="I20" s="2" t="s">
        <v>127</v>
      </c>
      <c r="J20" s="2" t="s">
        <v>128</v>
      </c>
      <c r="K20" s="3">
        <v>1.9699999999999999E-2</v>
      </c>
      <c r="L20" s="2" t="s">
        <v>86</v>
      </c>
      <c r="M20" s="2" t="s">
        <v>122</v>
      </c>
      <c r="N20" s="2" t="s">
        <v>124</v>
      </c>
      <c r="V20" s="3"/>
      <c r="W20" s="3"/>
      <c r="X20" s="3"/>
      <c r="Y20" s="3"/>
      <c r="Z20" s="3"/>
    </row>
    <row r="21" spans="2:26" outlineLevel="1" x14ac:dyDescent="0.3">
      <c r="B21" s="2" t="s">
        <v>369</v>
      </c>
      <c r="C21" s="2" t="s">
        <v>370</v>
      </c>
      <c r="D21" s="2" t="s">
        <v>371</v>
      </c>
      <c r="E21" s="2" t="s">
        <v>372</v>
      </c>
      <c r="F21" s="2" t="s">
        <v>373</v>
      </c>
      <c r="G21" s="2">
        <v>0.56000000000000005</v>
      </c>
      <c r="H21" s="2">
        <v>24.69</v>
      </c>
      <c r="I21" s="2" t="s">
        <v>374</v>
      </c>
      <c r="J21" s="2" t="s">
        <v>375</v>
      </c>
      <c r="K21" s="3">
        <v>1.43E-2</v>
      </c>
      <c r="L21" s="2" t="s">
        <v>86</v>
      </c>
      <c r="M21" s="2" t="s">
        <v>369</v>
      </c>
      <c r="N21" s="2" t="s">
        <v>371</v>
      </c>
      <c r="P21" s="3"/>
      <c r="V21" s="3"/>
      <c r="W21" s="3"/>
      <c r="X21" s="3"/>
      <c r="Y21" s="3"/>
      <c r="Z21" s="3"/>
    </row>
    <row r="22" spans="2:26" outlineLevel="1" x14ac:dyDescent="0.3">
      <c r="B22" s="2" t="s">
        <v>376</v>
      </c>
      <c r="C22" s="2" t="s">
        <v>377</v>
      </c>
      <c r="D22" s="2" t="s">
        <v>378</v>
      </c>
      <c r="E22" s="2" t="s">
        <v>379</v>
      </c>
      <c r="F22" s="2" t="s">
        <v>380</v>
      </c>
      <c r="G22" s="2">
        <v>0.48</v>
      </c>
      <c r="H22" s="2">
        <v>16.22</v>
      </c>
      <c r="I22" s="2" t="s">
        <v>381</v>
      </c>
      <c r="J22" s="2" t="s">
        <v>382</v>
      </c>
      <c r="K22" s="3">
        <v>2.2200000000000001E-2</v>
      </c>
      <c r="L22" s="2" t="s">
        <v>65</v>
      </c>
      <c r="M22" s="2" t="s">
        <v>376</v>
      </c>
      <c r="N22" s="2" t="s">
        <v>378</v>
      </c>
      <c r="W22" s="3"/>
      <c r="X22" s="3"/>
      <c r="Y22" s="3"/>
      <c r="Z22" s="3"/>
    </row>
    <row r="23" spans="2:26" outlineLevel="1" x14ac:dyDescent="0.3">
      <c r="B23" s="2" t="s">
        <v>129</v>
      </c>
      <c r="C23" s="2" t="s">
        <v>130</v>
      </c>
      <c r="D23" s="2" t="s">
        <v>131</v>
      </c>
      <c r="E23" s="2" t="s">
        <v>132</v>
      </c>
      <c r="F23" s="2" t="s">
        <v>133</v>
      </c>
      <c r="G23" s="2">
        <v>0.57999999999999996</v>
      </c>
      <c r="H23" s="2">
        <v>15.4</v>
      </c>
      <c r="I23" s="2" t="s">
        <v>134</v>
      </c>
      <c r="J23" s="3">
        <v>2.69E-2</v>
      </c>
      <c r="K23" s="3">
        <v>3.4500000000000003E-2</v>
      </c>
      <c r="L23" s="2" t="s">
        <v>73</v>
      </c>
      <c r="M23" s="2" t="s">
        <v>129</v>
      </c>
      <c r="N23" s="2" t="s">
        <v>131</v>
      </c>
      <c r="R23" s="3"/>
      <c r="V23" s="3"/>
      <c r="W23" s="3"/>
      <c r="X23" s="3"/>
      <c r="Y23" s="3"/>
      <c r="Z23" s="3"/>
    </row>
    <row r="24" spans="2:26" outlineLevel="1" x14ac:dyDescent="0.3">
      <c r="B24" s="2" t="s">
        <v>383</v>
      </c>
      <c r="C24" s="2" t="s">
        <v>384</v>
      </c>
      <c r="D24" s="2" t="s">
        <v>385</v>
      </c>
      <c r="E24" s="2" t="s">
        <v>386</v>
      </c>
      <c r="F24" s="2" t="s">
        <v>387</v>
      </c>
      <c r="G24" s="2">
        <v>0.09</v>
      </c>
      <c r="H24" s="2">
        <v>14.75</v>
      </c>
      <c r="I24" s="2" t="s">
        <v>388</v>
      </c>
      <c r="J24" s="2" t="s">
        <v>389</v>
      </c>
      <c r="K24" s="3">
        <v>1.7000000000000001E-2</v>
      </c>
      <c r="L24" s="2" t="s">
        <v>65</v>
      </c>
      <c r="M24" s="2" t="s">
        <v>383</v>
      </c>
      <c r="N24" s="2" t="s">
        <v>385</v>
      </c>
      <c r="P24" s="3"/>
      <c r="V24" s="3"/>
      <c r="W24" s="3"/>
      <c r="X24" s="3"/>
      <c r="Y24" s="3"/>
      <c r="Z24" s="3"/>
    </row>
    <row r="25" spans="2:26" outlineLevel="1" x14ac:dyDescent="0.3">
      <c r="B25" s="2" t="s">
        <v>290</v>
      </c>
      <c r="C25" s="2" t="s">
        <v>291</v>
      </c>
      <c r="D25" s="2" t="s">
        <v>292</v>
      </c>
      <c r="E25" s="2" t="s">
        <v>293</v>
      </c>
      <c r="F25" s="2" t="s">
        <v>294</v>
      </c>
      <c r="G25" s="2">
        <v>1.34</v>
      </c>
      <c r="H25" s="2">
        <v>51.45</v>
      </c>
      <c r="I25" s="2" t="s">
        <v>295</v>
      </c>
      <c r="J25" s="2" t="s">
        <v>296</v>
      </c>
      <c r="K25" s="3">
        <v>0</v>
      </c>
      <c r="L25" s="2" t="s">
        <v>86</v>
      </c>
      <c r="M25" s="2" t="s">
        <v>290</v>
      </c>
      <c r="N25" s="2" t="s">
        <v>292</v>
      </c>
      <c r="V25" s="3"/>
      <c r="Y25" s="3"/>
      <c r="Z25" s="3"/>
    </row>
    <row r="26" spans="2:26" outlineLevel="1" x14ac:dyDescent="0.3">
      <c r="B26" s="2" t="s">
        <v>135</v>
      </c>
      <c r="C26" s="2" t="s">
        <v>136</v>
      </c>
      <c r="D26" s="2" t="s">
        <v>137</v>
      </c>
      <c r="E26" s="2" t="s">
        <v>138</v>
      </c>
      <c r="F26" s="2" t="s">
        <v>139</v>
      </c>
      <c r="G26" s="2">
        <v>0.79</v>
      </c>
      <c r="H26" s="2">
        <v>15.94</v>
      </c>
      <c r="I26" s="2" t="s">
        <v>140</v>
      </c>
      <c r="J26" s="2" t="s">
        <v>141</v>
      </c>
      <c r="K26" s="3">
        <v>1.7100000000000001E-2</v>
      </c>
      <c r="L26" s="2" t="s">
        <v>86</v>
      </c>
      <c r="M26" s="2" t="s">
        <v>135</v>
      </c>
      <c r="N26" s="2" t="s">
        <v>137</v>
      </c>
      <c r="T26" s="3"/>
      <c r="V26" s="3"/>
      <c r="W26" s="3"/>
      <c r="X26" s="3"/>
      <c r="Y26" s="3"/>
      <c r="Z26" s="3"/>
    </row>
    <row r="27" spans="2:26" outlineLevel="1" x14ac:dyDescent="0.3">
      <c r="B27" s="2" t="s">
        <v>142</v>
      </c>
      <c r="C27" s="2" t="s">
        <v>143</v>
      </c>
      <c r="D27" s="2" t="s">
        <v>144</v>
      </c>
      <c r="E27" s="2" t="s">
        <v>145</v>
      </c>
      <c r="F27" s="2" t="s">
        <v>146</v>
      </c>
      <c r="G27" s="2">
        <v>2.11</v>
      </c>
      <c r="H27" s="2">
        <v>23.98</v>
      </c>
      <c r="I27" s="2" t="s">
        <v>147</v>
      </c>
      <c r="J27" s="3">
        <v>0.64170000000000005</v>
      </c>
      <c r="K27" s="3">
        <v>2.0000000000000001E-4</v>
      </c>
      <c r="L27" s="2" t="s">
        <v>86</v>
      </c>
      <c r="M27" s="2" t="s">
        <v>142</v>
      </c>
      <c r="N27" s="2" t="s">
        <v>144</v>
      </c>
      <c r="Q27" s="3"/>
      <c r="V27" s="3"/>
      <c r="W27" s="3"/>
      <c r="X27" s="3"/>
      <c r="Y27" s="3"/>
      <c r="Z27" s="3"/>
    </row>
    <row r="28" spans="2:26" outlineLevel="1" x14ac:dyDescent="0.3">
      <c r="B28" s="2" t="s">
        <v>148</v>
      </c>
      <c r="C28" s="2" t="s">
        <v>149</v>
      </c>
      <c r="D28" s="2" t="s">
        <v>150</v>
      </c>
      <c r="E28" s="2" t="s">
        <v>151</v>
      </c>
      <c r="F28" s="2" t="s">
        <v>152</v>
      </c>
      <c r="G28" s="2">
        <v>0.51</v>
      </c>
      <c r="H28" s="2">
        <v>22.86</v>
      </c>
      <c r="I28" s="2" t="s">
        <v>153</v>
      </c>
      <c r="J28" s="2" t="s">
        <v>154</v>
      </c>
      <c r="K28" s="3">
        <v>0</v>
      </c>
      <c r="L28" s="2" t="s">
        <v>86</v>
      </c>
      <c r="M28" s="2" t="s">
        <v>148</v>
      </c>
      <c r="N28" s="2" t="s">
        <v>150</v>
      </c>
      <c r="Q28" s="3"/>
      <c r="S28" s="3"/>
      <c r="T28" s="3"/>
      <c r="V28" s="3"/>
      <c r="W28" s="3"/>
      <c r="Y28" s="3"/>
      <c r="Z28" s="3"/>
    </row>
    <row r="29" spans="2:26" outlineLevel="1" x14ac:dyDescent="0.3">
      <c r="B29" s="2" t="s">
        <v>390</v>
      </c>
      <c r="C29" s="2" t="s">
        <v>391</v>
      </c>
      <c r="D29" s="2" t="s">
        <v>392</v>
      </c>
      <c r="E29" s="2" t="s">
        <v>393</v>
      </c>
      <c r="F29" s="2" t="s">
        <v>394</v>
      </c>
      <c r="G29" s="2">
        <v>1.28</v>
      </c>
      <c r="H29" s="2">
        <v>11.34</v>
      </c>
      <c r="I29" s="2" t="s">
        <v>395</v>
      </c>
      <c r="J29" s="2" t="s">
        <v>396</v>
      </c>
      <c r="K29" s="3">
        <v>2.5600000000000001E-2</v>
      </c>
      <c r="L29" s="2" t="s">
        <v>65</v>
      </c>
      <c r="M29" s="2" t="s">
        <v>390</v>
      </c>
      <c r="N29" s="2" t="s">
        <v>392</v>
      </c>
      <c r="V29" s="3"/>
      <c r="W29" s="3"/>
      <c r="X29" s="3"/>
      <c r="Y29" s="3"/>
      <c r="Z29" s="3"/>
    </row>
    <row r="30" spans="2:26" outlineLevel="1" x14ac:dyDescent="0.3">
      <c r="B30" s="2" t="s">
        <v>297</v>
      </c>
      <c r="C30" s="2" t="s">
        <v>298</v>
      </c>
      <c r="D30" s="2" t="s">
        <v>299</v>
      </c>
      <c r="E30" s="2" t="s">
        <v>300</v>
      </c>
      <c r="F30" s="2" t="s">
        <v>301</v>
      </c>
      <c r="G30" s="2">
        <v>2.1</v>
      </c>
      <c r="H30" s="2">
        <v>28.15</v>
      </c>
      <c r="I30" s="2" t="s">
        <v>302</v>
      </c>
      <c r="J30" s="3">
        <v>0.74460000000000004</v>
      </c>
      <c r="K30" s="3">
        <v>2E-3</v>
      </c>
      <c r="L30" s="2" t="s">
        <v>86</v>
      </c>
      <c r="M30" s="2" t="s">
        <v>297</v>
      </c>
      <c r="N30" s="2" t="s">
        <v>299</v>
      </c>
      <c r="T30" s="3"/>
      <c r="U30" s="3"/>
      <c r="V30" s="3"/>
      <c r="W30" s="3"/>
      <c r="X30" s="3"/>
      <c r="Y30" s="3"/>
      <c r="Z30" s="3"/>
    </row>
    <row r="31" spans="2:26" outlineLevel="1" x14ac:dyDescent="0.3">
      <c r="B31" s="2" t="s">
        <v>303</v>
      </c>
      <c r="C31" s="2" t="s">
        <v>304</v>
      </c>
      <c r="D31" s="2" t="s">
        <v>305</v>
      </c>
      <c r="E31" s="2" t="s">
        <v>306</v>
      </c>
      <c r="F31" s="2" t="s">
        <v>307</v>
      </c>
      <c r="G31" s="2">
        <v>2.3199999999999998</v>
      </c>
      <c r="H31" s="2">
        <v>19.760000000000002</v>
      </c>
      <c r="I31" s="2" t="s">
        <v>308</v>
      </c>
      <c r="J31" s="3">
        <v>0.58209999999999995</v>
      </c>
      <c r="K31" s="3">
        <v>2E-3</v>
      </c>
      <c r="L31" s="2" t="s">
        <v>73</v>
      </c>
      <c r="M31" s="2" t="s">
        <v>303</v>
      </c>
      <c r="N31" s="2" t="s">
        <v>305</v>
      </c>
      <c r="V31" s="3"/>
      <c r="W31" s="3"/>
      <c r="X31" s="3"/>
      <c r="Y31" s="3"/>
      <c r="Z31" s="3"/>
    </row>
    <row r="32" spans="2:26" outlineLevel="1" x14ac:dyDescent="0.3">
      <c r="B32" s="2" t="s">
        <v>309</v>
      </c>
      <c r="C32" s="2" t="s">
        <v>310</v>
      </c>
      <c r="D32" s="2" t="s">
        <v>311</v>
      </c>
      <c r="E32" s="2" t="s">
        <v>312</v>
      </c>
      <c r="F32" s="2" t="s">
        <v>313</v>
      </c>
      <c r="G32" s="2">
        <v>1.64</v>
      </c>
      <c r="H32" s="2">
        <v>121.31</v>
      </c>
      <c r="I32" s="2" t="s">
        <v>314</v>
      </c>
      <c r="J32" s="3">
        <v>0.66139999999999999</v>
      </c>
      <c r="K32" s="3">
        <v>0</v>
      </c>
      <c r="L32" s="2" t="s">
        <v>86</v>
      </c>
      <c r="M32" s="2" t="s">
        <v>309</v>
      </c>
      <c r="N32" s="2" t="s">
        <v>311</v>
      </c>
      <c r="R32" s="3"/>
      <c r="S32" s="3"/>
      <c r="T32" s="3"/>
      <c r="U32" s="3"/>
      <c r="V32" s="3"/>
      <c r="W32" s="3"/>
      <c r="X32" s="3"/>
      <c r="Y32" s="3"/>
      <c r="Z32" s="3"/>
    </row>
    <row r="33" spans="2:26" outlineLevel="1" x14ac:dyDescent="0.3">
      <c r="B33" s="2" t="s">
        <v>155</v>
      </c>
      <c r="C33" s="2" t="s">
        <v>156</v>
      </c>
      <c r="D33" s="2" t="s">
        <v>157</v>
      </c>
      <c r="E33" s="2" t="s">
        <v>158</v>
      </c>
      <c r="F33" s="2" t="s">
        <v>159</v>
      </c>
      <c r="G33" s="2">
        <v>0.93</v>
      </c>
      <c r="H33" s="2">
        <v>3.1</v>
      </c>
      <c r="I33" s="2" t="s">
        <v>160</v>
      </c>
      <c r="J33" s="2" t="s">
        <v>161</v>
      </c>
      <c r="K33" s="3">
        <v>0</v>
      </c>
      <c r="L33" s="2" t="s">
        <v>86</v>
      </c>
      <c r="M33" s="2" t="s">
        <v>155</v>
      </c>
      <c r="N33" s="2" t="s">
        <v>157</v>
      </c>
      <c r="V33" s="3"/>
      <c r="Y33" s="3"/>
      <c r="Z33" s="3"/>
    </row>
    <row r="34" spans="2:26" outlineLevel="1" x14ac:dyDescent="0.3">
      <c r="B34" s="2" t="s">
        <v>162</v>
      </c>
      <c r="C34" s="2" t="s">
        <v>163</v>
      </c>
      <c r="D34" s="2" t="s">
        <v>164</v>
      </c>
      <c r="E34" s="2" t="s">
        <v>165</v>
      </c>
      <c r="F34" s="2" t="s">
        <v>166</v>
      </c>
      <c r="G34" s="2">
        <v>1.27</v>
      </c>
      <c r="H34" s="2">
        <v>58.59</v>
      </c>
      <c r="I34" s="2" t="s">
        <v>167</v>
      </c>
      <c r="J34" s="2" t="s">
        <v>168</v>
      </c>
      <c r="K34" s="3">
        <v>0</v>
      </c>
      <c r="L34" s="2" t="s">
        <v>86</v>
      </c>
      <c r="M34" s="2" t="s">
        <v>162</v>
      </c>
      <c r="N34" s="2" t="s">
        <v>164</v>
      </c>
      <c r="V34" s="3"/>
      <c r="Y34" s="3"/>
      <c r="Z34" s="3"/>
    </row>
    <row r="35" spans="2:26" outlineLevel="1" x14ac:dyDescent="0.3">
      <c r="B35" s="2" t="s">
        <v>169</v>
      </c>
      <c r="C35" s="2" t="s">
        <v>170</v>
      </c>
      <c r="D35" s="2" t="s">
        <v>171</v>
      </c>
      <c r="E35" s="2" t="s">
        <v>172</v>
      </c>
      <c r="F35" s="2" t="s">
        <v>173</v>
      </c>
      <c r="G35" s="2">
        <v>1.23</v>
      </c>
      <c r="H35" s="2">
        <v>5.04</v>
      </c>
      <c r="I35" s="2" t="s">
        <v>174</v>
      </c>
      <c r="J35" s="3">
        <v>0.60799999999999998</v>
      </c>
      <c r="K35" s="3">
        <v>7.4800000000000005E-2</v>
      </c>
      <c r="L35" s="2" t="s">
        <v>73</v>
      </c>
      <c r="M35" s="2" t="s">
        <v>169</v>
      </c>
      <c r="N35" s="2" t="s">
        <v>171</v>
      </c>
      <c r="T35" s="3"/>
      <c r="V35" s="3"/>
      <c r="W35" s="3"/>
      <c r="X35" s="3"/>
      <c r="Y35" s="3"/>
      <c r="Z35" s="3"/>
    </row>
    <row r="36" spans="2:26" outlineLevel="1" x14ac:dyDescent="0.3">
      <c r="B36" s="2" t="s">
        <v>175</v>
      </c>
      <c r="C36" s="2" t="s">
        <v>176</v>
      </c>
      <c r="D36" s="2" t="s">
        <v>177</v>
      </c>
      <c r="E36" s="2" t="s">
        <v>178</v>
      </c>
      <c r="F36" s="2" t="s">
        <v>179</v>
      </c>
      <c r="G36" s="2">
        <v>0.61</v>
      </c>
      <c r="H36" s="2" t="s">
        <v>43</v>
      </c>
      <c r="I36" s="2" t="s">
        <v>43</v>
      </c>
      <c r="J36" s="2" t="s">
        <v>43</v>
      </c>
      <c r="K36" s="3">
        <v>0</v>
      </c>
      <c r="L36" s="2" t="s">
        <v>73</v>
      </c>
      <c r="M36" s="2" t="s">
        <v>175</v>
      </c>
      <c r="N36" s="2" t="s">
        <v>177</v>
      </c>
      <c r="Y36" s="3"/>
      <c r="Z36" s="3"/>
    </row>
    <row r="37" spans="2:26" outlineLevel="1" x14ac:dyDescent="0.3">
      <c r="B37" s="2" t="s">
        <v>180</v>
      </c>
      <c r="C37" s="2" t="s">
        <v>181</v>
      </c>
      <c r="D37" s="2" t="s">
        <v>182</v>
      </c>
      <c r="E37" s="2" t="s">
        <v>183</v>
      </c>
      <c r="F37" s="2" t="s">
        <v>184</v>
      </c>
      <c r="G37" s="2">
        <v>0.66</v>
      </c>
      <c r="H37" s="2">
        <v>33.61</v>
      </c>
      <c r="I37" s="2" t="s">
        <v>185</v>
      </c>
      <c r="J37" s="3">
        <v>0.19769999999999999</v>
      </c>
      <c r="K37" s="3">
        <v>0</v>
      </c>
      <c r="L37" s="2" t="s">
        <v>73</v>
      </c>
      <c r="M37" s="2" t="s">
        <v>180</v>
      </c>
      <c r="N37" s="2" t="s">
        <v>182</v>
      </c>
      <c r="Y37" s="3"/>
      <c r="Z37" s="3"/>
    </row>
    <row r="38" spans="2:26" outlineLevel="1" x14ac:dyDescent="0.3">
      <c r="B38" s="2" t="s">
        <v>315</v>
      </c>
      <c r="C38" s="2" t="s">
        <v>316</v>
      </c>
      <c r="D38" s="2" t="s">
        <v>317</v>
      </c>
      <c r="E38" s="2" t="s">
        <v>318</v>
      </c>
      <c r="F38" s="2" t="s">
        <v>319</v>
      </c>
      <c r="G38" s="2">
        <v>0.93</v>
      </c>
      <c r="H38" s="2">
        <v>38.28</v>
      </c>
      <c r="I38" s="2" t="s">
        <v>320</v>
      </c>
      <c r="J38" s="2" t="s">
        <v>43</v>
      </c>
      <c r="K38" s="3">
        <v>0</v>
      </c>
      <c r="L38" s="2" t="s">
        <v>86</v>
      </c>
      <c r="M38" s="2" t="s">
        <v>315</v>
      </c>
      <c r="N38" s="2" t="s">
        <v>317</v>
      </c>
      <c r="T38" s="3"/>
      <c r="U38" s="3"/>
      <c r="V38" s="3"/>
      <c r="W38" s="3"/>
      <c r="X38" s="3"/>
      <c r="Y38" s="3"/>
      <c r="Z38" s="3"/>
    </row>
    <row r="39" spans="2:26" outlineLevel="1" x14ac:dyDescent="0.3">
      <c r="B39" s="2" t="s">
        <v>186</v>
      </c>
      <c r="C39" s="2" t="s">
        <v>187</v>
      </c>
      <c r="D39" s="2" t="s">
        <v>188</v>
      </c>
      <c r="E39" s="2" t="s">
        <v>189</v>
      </c>
      <c r="F39" s="2" t="s">
        <v>190</v>
      </c>
      <c r="G39" s="2">
        <v>3.1</v>
      </c>
      <c r="H39" s="2">
        <v>12.02</v>
      </c>
      <c r="I39" s="2" t="s">
        <v>191</v>
      </c>
      <c r="J39" s="2" t="s">
        <v>192</v>
      </c>
      <c r="K39" s="3">
        <v>2.64E-2</v>
      </c>
      <c r="L39" s="2" t="s">
        <v>73</v>
      </c>
      <c r="M39" s="2" t="s">
        <v>186</v>
      </c>
      <c r="N39" s="2" t="s">
        <v>188</v>
      </c>
      <c r="V39" s="3"/>
      <c r="W39" s="3"/>
      <c r="X39" s="3"/>
      <c r="Y39" s="3"/>
      <c r="Z39" s="3"/>
    </row>
    <row r="40" spans="2:26" outlineLevel="1" x14ac:dyDescent="0.3">
      <c r="B40" s="2" t="s">
        <v>321</v>
      </c>
      <c r="C40" s="2" t="s">
        <v>322</v>
      </c>
      <c r="D40" s="2" t="s">
        <v>323</v>
      </c>
      <c r="E40" s="2" t="s">
        <v>324</v>
      </c>
      <c r="F40" s="2" t="s">
        <v>325</v>
      </c>
      <c r="G40" s="2">
        <v>1.67</v>
      </c>
      <c r="H40" s="2">
        <v>17.059999999999999</v>
      </c>
      <c r="I40" s="2" t="s">
        <v>326</v>
      </c>
      <c r="J40" s="3">
        <v>0.71679999999999999</v>
      </c>
      <c r="K40" s="3">
        <v>2.3999999999999998E-3</v>
      </c>
      <c r="L40" s="2" t="s">
        <v>86</v>
      </c>
      <c r="M40" s="2" t="s">
        <v>321</v>
      </c>
      <c r="N40" s="2" t="s">
        <v>323</v>
      </c>
      <c r="Y40" s="3"/>
      <c r="Z40" s="3"/>
    </row>
    <row r="41" spans="2:26" outlineLevel="1" x14ac:dyDescent="0.3">
      <c r="B41" s="2" t="s">
        <v>327</v>
      </c>
      <c r="C41" s="2" t="s">
        <v>328</v>
      </c>
      <c r="D41" s="2" t="s">
        <v>329</v>
      </c>
      <c r="E41" s="3">
        <v>4.99E-2</v>
      </c>
      <c r="F41" s="2" t="s">
        <v>330</v>
      </c>
      <c r="G41" s="2">
        <v>0.16</v>
      </c>
      <c r="H41" s="38">
        <v>1554.83</v>
      </c>
      <c r="I41" s="2" t="s">
        <v>331</v>
      </c>
      <c r="J41" s="2" t="s">
        <v>332</v>
      </c>
      <c r="K41" s="3">
        <v>0</v>
      </c>
      <c r="L41" s="2" t="s">
        <v>86</v>
      </c>
      <c r="M41" s="2" t="s">
        <v>327</v>
      </c>
      <c r="N41" s="2" t="s">
        <v>329</v>
      </c>
      <c r="P41" s="3"/>
      <c r="Q41" s="3"/>
      <c r="R41" s="3"/>
      <c r="S41" s="3"/>
      <c r="T41" s="3"/>
      <c r="U41" s="3"/>
      <c r="Y41" s="3"/>
      <c r="Z41" s="3"/>
    </row>
    <row r="42" spans="2:26" outlineLevel="1" x14ac:dyDescent="0.3">
      <c r="B42" s="2" t="s">
        <v>193</v>
      </c>
      <c r="C42" s="2" t="s">
        <v>194</v>
      </c>
      <c r="D42" s="2" t="s">
        <v>195</v>
      </c>
      <c r="E42" s="2" t="s">
        <v>196</v>
      </c>
      <c r="F42" s="2" t="s">
        <v>197</v>
      </c>
      <c r="G42" s="2">
        <v>1.43</v>
      </c>
      <c r="H42" s="2">
        <v>19.71</v>
      </c>
      <c r="I42" s="2" t="s">
        <v>198</v>
      </c>
      <c r="J42" s="3">
        <v>1.0515000000000001</v>
      </c>
      <c r="K42" s="3">
        <v>0</v>
      </c>
      <c r="L42" s="2" t="s">
        <v>86</v>
      </c>
      <c r="M42" s="2" t="s">
        <v>193</v>
      </c>
      <c r="N42" s="2" t="s">
        <v>195</v>
      </c>
      <c r="V42" s="3"/>
      <c r="Y42" s="3"/>
      <c r="Z42" s="3"/>
    </row>
    <row r="43" spans="2:26" outlineLevel="1" x14ac:dyDescent="0.3">
      <c r="B43" s="2" t="s">
        <v>199</v>
      </c>
      <c r="C43" s="2" t="s">
        <v>200</v>
      </c>
      <c r="D43" s="2" t="s">
        <v>201</v>
      </c>
      <c r="E43" s="2" t="s">
        <v>202</v>
      </c>
      <c r="F43" s="2" t="s">
        <v>203</v>
      </c>
      <c r="G43" s="2">
        <v>0.43</v>
      </c>
      <c r="H43" s="2" t="s">
        <v>43</v>
      </c>
      <c r="I43" s="2" t="s">
        <v>204</v>
      </c>
      <c r="J43" s="2" t="s">
        <v>205</v>
      </c>
      <c r="K43" s="3">
        <v>1.4E-3</v>
      </c>
      <c r="L43" s="2" t="s">
        <v>86</v>
      </c>
      <c r="M43" s="2" t="s">
        <v>199</v>
      </c>
      <c r="N43" s="2" t="s">
        <v>201</v>
      </c>
      <c r="Q43" s="3"/>
      <c r="R43" s="3"/>
      <c r="V43" s="3"/>
      <c r="W43" s="3"/>
      <c r="X43" s="3"/>
      <c r="Y43" s="3"/>
      <c r="Z43" s="3"/>
    </row>
    <row r="44" spans="2:26" outlineLevel="1" x14ac:dyDescent="0.3">
      <c r="B44" s="2" t="s">
        <v>206</v>
      </c>
      <c r="C44" s="2" t="s">
        <v>207</v>
      </c>
      <c r="D44" s="2" t="s">
        <v>208</v>
      </c>
      <c r="E44" s="2" t="s">
        <v>209</v>
      </c>
      <c r="F44" s="2" t="s">
        <v>210</v>
      </c>
      <c r="G44" s="2">
        <v>1.94</v>
      </c>
      <c r="H44" s="2">
        <v>26.58</v>
      </c>
      <c r="I44" s="2" t="s">
        <v>211</v>
      </c>
      <c r="J44" s="3">
        <v>0.25700000000000001</v>
      </c>
      <c r="K44" s="3">
        <v>0</v>
      </c>
      <c r="L44" s="2" t="s">
        <v>86</v>
      </c>
      <c r="M44" s="2" t="s">
        <v>206</v>
      </c>
      <c r="N44" s="2" t="s">
        <v>208</v>
      </c>
      <c r="V44" s="3"/>
      <c r="X44" s="3"/>
      <c r="Y44" s="3"/>
      <c r="Z44" s="3"/>
    </row>
    <row r="45" spans="2:26" outlineLevel="1" x14ac:dyDescent="0.3">
      <c r="B45" s="2" t="s">
        <v>212</v>
      </c>
      <c r="C45" s="2" t="s">
        <v>213</v>
      </c>
      <c r="D45" s="2" t="s">
        <v>214</v>
      </c>
      <c r="E45" s="3">
        <v>2.4400000000000002E-2</v>
      </c>
      <c r="F45" s="2" t="s">
        <v>215</v>
      </c>
      <c r="G45" s="2">
        <v>2.0299999999999998</v>
      </c>
      <c r="H45" s="2">
        <v>134.19</v>
      </c>
      <c r="I45" s="2" t="s">
        <v>216</v>
      </c>
      <c r="J45" s="2" t="s">
        <v>217</v>
      </c>
      <c r="K45" s="3">
        <v>4.8999999999999998E-3</v>
      </c>
      <c r="L45" s="2" t="s">
        <v>86</v>
      </c>
      <c r="M45" s="2" t="s">
        <v>212</v>
      </c>
      <c r="N45" s="2" t="s">
        <v>214</v>
      </c>
      <c r="X45" s="3"/>
      <c r="Y45" s="3"/>
      <c r="Z45" s="3"/>
    </row>
    <row r="46" spans="2:26" outlineLevel="1" x14ac:dyDescent="0.3">
      <c r="B46" s="2" t="s">
        <v>397</v>
      </c>
      <c r="C46" s="2" t="s">
        <v>398</v>
      </c>
      <c r="D46" s="2" t="s">
        <v>399</v>
      </c>
      <c r="E46" s="3">
        <v>1.7399999999999999E-2</v>
      </c>
      <c r="F46" s="2" t="s">
        <v>400</v>
      </c>
      <c r="G46" s="2">
        <v>1.57</v>
      </c>
      <c r="H46" s="2">
        <v>6.6</v>
      </c>
      <c r="I46" s="2" t="s">
        <v>401</v>
      </c>
      <c r="J46" s="2" t="s">
        <v>43</v>
      </c>
      <c r="K46" s="3">
        <v>0</v>
      </c>
      <c r="L46" s="2" t="s">
        <v>86</v>
      </c>
      <c r="M46" s="2" t="s">
        <v>397</v>
      </c>
      <c r="N46" s="2" t="s">
        <v>399</v>
      </c>
      <c r="Q46" s="3"/>
      <c r="R46" s="3"/>
      <c r="S46" s="3"/>
      <c r="V46" s="3"/>
      <c r="W46" s="3"/>
      <c r="X46" s="3"/>
      <c r="Y46" s="3"/>
      <c r="Z46" s="3"/>
    </row>
    <row r="47" spans="2:26" outlineLevel="1" x14ac:dyDescent="0.3">
      <c r="B47" s="2" t="s">
        <v>218</v>
      </c>
      <c r="C47" s="2" t="s">
        <v>219</v>
      </c>
      <c r="D47" s="2" t="s">
        <v>220</v>
      </c>
      <c r="E47" s="2" t="s">
        <v>221</v>
      </c>
      <c r="F47" s="2" t="s">
        <v>222</v>
      </c>
      <c r="G47" s="2">
        <v>0.53</v>
      </c>
      <c r="H47" s="2">
        <v>8.56</v>
      </c>
      <c r="I47" s="2" t="s">
        <v>223</v>
      </c>
      <c r="J47" s="3">
        <v>1.0194000000000001</v>
      </c>
      <c r="K47" s="3">
        <v>0</v>
      </c>
      <c r="L47" s="2" t="s">
        <v>86</v>
      </c>
      <c r="M47" s="2" t="s">
        <v>218</v>
      </c>
      <c r="N47" s="2" t="s">
        <v>220</v>
      </c>
    </row>
    <row r="48" spans="2:26" outlineLevel="1" x14ac:dyDescent="0.3">
      <c r="B48" s="2" t="s">
        <v>224</v>
      </c>
      <c r="C48" s="2" t="s">
        <v>225</v>
      </c>
      <c r="D48" s="2" t="s">
        <v>226</v>
      </c>
      <c r="E48" s="2" t="s">
        <v>227</v>
      </c>
      <c r="F48" s="2" t="s">
        <v>228</v>
      </c>
      <c r="G48" s="2">
        <v>0.9</v>
      </c>
      <c r="H48" s="2" t="s">
        <v>43</v>
      </c>
      <c r="I48" s="2" t="s">
        <v>229</v>
      </c>
      <c r="J48" s="3">
        <v>0.83230000000000004</v>
      </c>
      <c r="K48" s="3">
        <v>1.9300000000000001E-2</v>
      </c>
      <c r="L48" s="2" t="s">
        <v>86</v>
      </c>
      <c r="M48" s="2" t="s">
        <v>224</v>
      </c>
      <c r="N48" s="2" t="s">
        <v>226</v>
      </c>
      <c r="Q48" s="3"/>
      <c r="V48" s="3"/>
      <c r="W48" s="3"/>
      <c r="X48" s="3"/>
      <c r="Y48" s="3"/>
      <c r="Z48" s="3"/>
    </row>
    <row r="49" spans="2:26" outlineLevel="1" x14ac:dyDescent="0.3">
      <c r="B49" s="2" t="s">
        <v>333</v>
      </c>
      <c r="C49" s="2" t="s">
        <v>334</v>
      </c>
      <c r="D49" s="2" t="s">
        <v>335</v>
      </c>
      <c r="E49" s="2" t="s">
        <v>336</v>
      </c>
      <c r="F49" s="2" t="s">
        <v>337</v>
      </c>
      <c r="G49" s="2">
        <v>1.17</v>
      </c>
      <c r="H49" s="2" t="s">
        <v>43</v>
      </c>
      <c r="I49" s="2" t="s">
        <v>43</v>
      </c>
      <c r="J49" s="2" t="s">
        <v>43</v>
      </c>
      <c r="K49" s="3">
        <v>0</v>
      </c>
      <c r="L49" s="2" t="s">
        <v>86</v>
      </c>
      <c r="M49" s="2" t="s">
        <v>333</v>
      </c>
      <c r="N49" s="2" t="s">
        <v>335</v>
      </c>
    </row>
    <row r="50" spans="2:26" outlineLevel="1" x14ac:dyDescent="0.3">
      <c r="B50" s="2" t="s">
        <v>230</v>
      </c>
      <c r="C50" s="2" t="s">
        <v>231</v>
      </c>
      <c r="D50" s="2" t="s">
        <v>232</v>
      </c>
      <c r="E50" s="2" t="s">
        <v>233</v>
      </c>
      <c r="F50" s="2" t="s">
        <v>234</v>
      </c>
      <c r="G50" s="2">
        <v>0.26</v>
      </c>
      <c r="H50" s="2">
        <v>90.88</v>
      </c>
      <c r="I50" s="2" t="s">
        <v>235</v>
      </c>
      <c r="J50" s="2" t="s">
        <v>236</v>
      </c>
      <c r="K50" s="3">
        <v>0</v>
      </c>
      <c r="L50" s="2" t="s">
        <v>86</v>
      </c>
      <c r="M50" s="2" t="s">
        <v>230</v>
      </c>
      <c r="N50" s="2" t="s">
        <v>232</v>
      </c>
      <c r="V50" s="3"/>
      <c r="W50" s="3"/>
      <c r="X50" s="3"/>
      <c r="Y50" s="3"/>
      <c r="Z50" s="3"/>
    </row>
    <row r="51" spans="2:26" outlineLevel="1" x14ac:dyDescent="0.3">
      <c r="B51" s="2" t="s">
        <v>419</v>
      </c>
      <c r="C51" s="2" t="s">
        <v>49</v>
      </c>
      <c r="D51" s="2" t="s">
        <v>420</v>
      </c>
      <c r="E51" s="2" t="s">
        <v>44</v>
      </c>
      <c r="F51" s="2" t="s">
        <v>45</v>
      </c>
      <c r="G51" s="2">
        <v>0.52</v>
      </c>
      <c r="H51" s="2">
        <v>17.739999999999998</v>
      </c>
      <c r="I51" s="2" t="s">
        <v>421</v>
      </c>
      <c r="J51" s="2" t="s">
        <v>43</v>
      </c>
      <c r="K51" s="3">
        <v>0</v>
      </c>
      <c r="L51" s="2" t="s">
        <v>86</v>
      </c>
      <c r="M51" s="2" t="s">
        <v>419</v>
      </c>
      <c r="N51" s="2" t="s">
        <v>420</v>
      </c>
    </row>
    <row r="52" spans="2:26" outlineLevel="1" x14ac:dyDescent="0.3">
      <c r="B52" s="2" t="s">
        <v>402</v>
      </c>
      <c r="C52" s="2" t="s">
        <v>403</v>
      </c>
      <c r="D52" s="2" t="s">
        <v>404</v>
      </c>
      <c r="E52" s="2" t="s">
        <v>405</v>
      </c>
      <c r="F52" s="2" t="s">
        <v>406</v>
      </c>
      <c r="G52" s="2">
        <v>2.6</v>
      </c>
      <c r="H52" s="2">
        <v>8.4700000000000006</v>
      </c>
      <c r="I52" s="2" t="s">
        <v>407</v>
      </c>
      <c r="J52" s="2" t="s">
        <v>43</v>
      </c>
      <c r="K52" s="3">
        <v>0</v>
      </c>
      <c r="L52" s="2" t="s">
        <v>86</v>
      </c>
      <c r="M52" s="2" t="s">
        <v>402</v>
      </c>
      <c r="N52" s="2" t="s">
        <v>404</v>
      </c>
      <c r="Q52" s="3"/>
      <c r="Y52" s="3"/>
      <c r="Z52" s="3"/>
    </row>
    <row r="53" spans="2:26" outlineLevel="1" x14ac:dyDescent="0.3">
      <c r="B53" s="2" t="s">
        <v>237</v>
      </c>
      <c r="C53" s="2" t="s">
        <v>238</v>
      </c>
      <c r="D53" s="2" t="s">
        <v>239</v>
      </c>
      <c r="E53" s="2" t="s">
        <v>240</v>
      </c>
      <c r="F53" s="2" t="s">
        <v>241</v>
      </c>
      <c r="G53" s="2">
        <v>0.21</v>
      </c>
      <c r="H53" s="2" t="s">
        <v>43</v>
      </c>
      <c r="I53" s="2" t="s">
        <v>242</v>
      </c>
      <c r="J53" s="2" t="s">
        <v>243</v>
      </c>
      <c r="K53" s="3">
        <v>0</v>
      </c>
      <c r="L53" s="2" t="s">
        <v>86</v>
      </c>
      <c r="M53" s="2" t="s">
        <v>237</v>
      </c>
      <c r="N53" s="2" t="s">
        <v>239</v>
      </c>
    </row>
    <row r="54" spans="2:26" outlineLevel="1" x14ac:dyDescent="0.3">
      <c r="B54" s="2" t="s">
        <v>244</v>
      </c>
      <c r="C54" s="2" t="s">
        <v>245</v>
      </c>
      <c r="D54" s="2" t="s">
        <v>246</v>
      </c>
      <c r="E54" s="2" t="s">
        <v>247</v>
      </c>
      <c r="F54" s="2" t="s">
        <v>248</v>
      </c>
      <c r="G54" s="2">
        <v>2.62</v>
      </c>
      <c r="H54" s="2">
        <v>101.78</v>
      </c>
      <c r="I54" s="2" t="s">
        <v>249</v>
      </c>
      <c r="J54" s="2" t="s">
        <v>43</v>
      </c>
      <c r="K54" s="3">
        <v>0</v>
      </c>
      <c r="L54" s="2" t="s">
        <v>86</v>
      </c>
      <c r="M54" s="2" t="s">
        <v>244</v>
      </c>
      <c r="N54" s="2" t="s">
        <v>246</v>
      </c>
      <c r="Q54" s="3"/>
      <c r="V54" s="3"/>
      <c r="W54" s="3"/>
      <c r="Y54" s="3"/>
      <c r="Z54" s="3"/>
    </row>
    <row r="55" spans="2:26" outlineLevel="1" x14ac:dyDescent="0.3">
      <c r="B55" s="2" t="s">
        <v>250</v>
      </c>
      <c r="C55" s="2" t="s">
        <v>251</v>
      </c>
      <c r="D55" s="2" t="s">
        <v>252</v>
      </c>
      <c r="E55" s="2" t="s">
        <v>253</v>
      </c>
      <c r="F55" s="2" t="s">
        <v>254</v>
      </c>
      <c r="G55" s="2">
        <v>0.67</v>
      </c>
      <c r="H55" s="2" t="s">
        <v>43</v>
      </c>
      <c r="I55" s="2" t="s">
        <v>43</v>
      </c>
      <c r="J55" s="2" t="s">
        <v>43</v>
      </c>
      <c r="K55" s="2" t="s">
        <v>43</v>
      </c>
      <c r="L55" s="2" t="s">
        <v>86</v>
      </c>
      <c r="M55" s="2" t="s">
        <v>250</v>
      </c>
      <c r="N55" s="2" t="s">
        <v>252</v>
      </c>
      <c r="Q55" s="3"/>
      <c r="S55" s="3"/>
      <c r="T55" s="3"/>
      <c r="Y55" s="3"/>
      <c r="Z55" s="3"/>
    </row>
    <row r="56" spans="2:26" outlineLevel="1" x14ac:dyDescent="0.3">
      <c r="B56" s="2" t="s">
        <v>422</v>
      </c>
      <c r="C56" s="2" t="s">
        <v>423</v>
      </c>
      <c r="D56" s="2" t="s">
        <v>424</v>
      </c>
      <c r="E56" s="2" t="s">
        <v>417</v>
      </c>
      <c r="F56" s="2" t="s">
        <v>418</v>
      </c>
      <c r="G56" s="2">
        <v>0.71</v>
      </c>
      <c r="H56" s="2">
        <v>57.28</v>
      </c>
      <c r="I56" s="2" t="s">
        <v>235</v>
      </c>
      <c r="J56" s="2" t="s">
        <v>43</v>
      </c>
      <c r="K56" s="3">
        <v>0</v>
      </c>
      <c r="L56" s="2" t="s">
        <v>86</v>
      </c>
      <c r="M56" s="2" t="s">
        <v>422</v>
      </c>
      <c r="N56" s="2" t="s">
        <v>424</v>
      </c>
      <c r="Y56" s="3"/>
      <c r="Z56" s="3"/>
    </row>
    <row r="57" spans="2:26" outlineLevel="1" x14ac:dyDescent="0.3">
      <c r="B57" s="2" t="s">
        <v>408</v>
      </c>
      <c r="C57" s="2" t="s">
        <v>409</v>
      </c>
      <c r="D57" s="2" t="s">
        <v>410</v>
      </c>
      <c r="E57" s="2" t="s">
        <v>411</v>
      </c>
      <c r="F57" s="2" t="s">
        <v>412</v>
      </c>
      <c r="G57" s="2">
        <v>0.65</v>
      </c>
      <c r="H57" s="2">
        <v>8.73</v>
      </c>
      <c r="I57" s="2" t="s">
        <v>413</v>
      </c>
      <c r="J57" s="3">
        <v>0.39589999999999997</v>
      </c>
      <c r="K57" s="3">
        <v>0</v>
      </c>
      <c r="L57" s="2" t="s">
        <v>86</v>
      </c>
      <c r="M57" s="2" t="s">
        <v>408</v>
      </c>
      <c r="N57" s="2" t="s">
        <v>410</v>
      </c>
      <c r="Q57" s="3"/>
      <c r="V57" s="3"/>
      <c r="Y57" s="3"/>
      <c r="Z57" s="3"/>
    </row>
    <row r="58" spans="2:26" outlineLevel="1" x14ac:dyDescent="0.3">
      <c r="B58" s="2" t="s">
        <v>338</v>
      </c>
      <c r="C58" s="2" t="s">
        <v>339</v>
      </c>
      <c r="D58" s="2" t="s">
        <v>340</v>
      </c>
      <c r="E58" s="3">
        <v>0</v>
      </c>
      <c r="F58" s="2">
        <v>62</v>
      </c>
      <c r="G58" s="2">
        <v>0.04</v>
      </c>
      <c r="H58" s="2" t="s">
        <v>43</v>
      </c>
      <c r="I58" s="2" t="s">
        <v>341</v>
      </c>
      <c r="J58" s="2" t="s">
        <v>342</v>
      </c>
      <c r="K58" s="3">
        <v>0</v>
      </c>
      <c r="L58" s="2" t="s">
        <v>86</v>
      </c>
      <c r="M58" s="2" t="s">
        <v>338</v>
      </c>
      <c r="N58" s="2" t="s">
        <v>340</v>
      </c>
      <c r="V58" s="3"/>
      <c r="W58" s="3"/>
      <c r="X58" s="3"/>
      <c r="Y58" s="3"/>
      <c r="Z58" s="3"/>
    </row>
    <row r="59" spans="2:26" outlineLevel="1" x14ac:dyDescent="0.3">
      <c r="B59" s="2" t="s">
        <v>343</v>
      </c>
      <c r="C59" s="2" t="s">
        <v>344</v>
      </c>
      <c r="D59" s="2" t="s">
        <v>345</v>
      </c>
      <c r="E59" s="2" t="s">
        <v>346</v>
      </c>
      <c r="F59" s="2" t="s">
        <v>347</v>
      </c>
      <c r="G59" s="2">
        <v>1</v>
      </c>
      <c r="H59" s="2" t="s">
        <v>43</v>
      </c>
      <c r="I59" s="2" t="s">
        <v>204</v>
      </c>
      <c r="J59" s="3">
        <v>0.94130000000000003</v>
      </c>
      <c r="K59" s="3">
        <v>0</v>
      </c>
      <c r="L59" s="2" t="s">
        <v>86</v>
      </c>
      <c r="M59" s="2" t="s">
        <v>343</v>
      </c>
      <c r="N59" s="2" t="s">
        <v>345</v>
      </c>
      <c r="V59" s="3"/>
      <c r="Y59" s="3"/>
      <c r="Z59" s="3"/>
    </row>
    <row r="60" spans="2:26" outlineLevel="1" x14ac:dyDescent="0.3">
      <c r="B60" s="2" t="s">
        <v>255</v>
      </c>
      <c r="C60" s="2" t="s">
        <v>256</v>
      </c>
      <c r="D60" s="2" t="s">
        <v>257</v>
      </c>
      <c r="E60" s="2" t="s">
        <v>258</v>
      </c>
      <c r="F60" s="2" t="s">
        <v>259</v>
      </c>
      <c r="G60" s="2">
        <v>1.08</v>
      </c>
      <c r="H60" s="2" t="s">
        <v>43</v>
      </c>
      <c r="I60" s="2" t="s">
        <v>260</v>
      </c>
      <c r="J60" s="2" t="s">
        <v>261</v>
      </c>
      <c r="K60" s="3">
        <v>0</v>
      </c>
      <c r="L60" s="2" t="s">
        <v>86</v>
      </c>
      <c r="M60" s="2" t="s">
        <v>255</v>
      </c>
      <c r="N60" s="2" t="s">
        <v>257</v>
      </c>
    </row>
    <row r="61" spans="2:26" outlineLevel="1" x14ac:dyDescent="0.3">
      <c r="B61" s="2" t="s">
        <v>265</v>
      </c>
      <c r="C61" s="2" t="s">
        <v>43</v>
      </c>
      <c r="D61" s="2" t="s">
        <v>266</v>
      </c>
      <c r="E61" s="2" t="s">
        <v>267</v>
      </c>
      <c r="F61" s="2">
        <v>997</v>
      </c>
      <c r="G61" s="2">
        <v>1.03</v>
      </c>
      <c r="H61" s="2" t="s">
        <v>43</v>
      </c>
      <c r="I61" s="2" t="s">
        <v>43</v>
      </c>
      <c r="J61" s="2" t="s">
        <v>43</v>
      </c>
      <c r="K61" s="2" t="s">
        <v>43</v>
      </c>
      <c r="L61" s="2" t="s">
        <v>86</v>
      </c>
      <c r="M61" s="2" t="s">
        <v>271</v>
      </c>
      <c r="N61" s="2" t="s">
        <v>272</v>
      </c>
      <c r="Y61" s="3"/>
      <c r="Z61" s="3"/>
    </row>
    <row r="62" spans="2:26" outlineLevel="1" x14ac:dyDescent="0.3">
      <c r="B62" s="2" t="s">
        <v>414</v>
      </c>
      <c r="C62" s="2" t="s">
        <v>43</v>
      </c>
      <c r="D62" s="2" t="s">
        <v>415</v>
      </c>
      <c r="E62" s="3">
        <v>2.1100000000000001E-2</v>
      </c>
      <c r="F62" s="2">
        <v>49</v>
      </c>
      <c r="G62" s="2">
        <v>0.14000000000000001</v>
      </c>
      <c r="H62" s="2" t="s">
        <v>43</v>
      </c>
      <c r="I62" s="2" t="s">
        <v>43</v>
      </c>
      <c r="J62" s="2" t="s">
        <v>43</v>
      </c>
      <c r="K62" s="2" t="s">
        <v>43</v>
      </c>
      <c r="L62" s="2" t="s">
        <v>86</v>
      </c>
      <c r="M62" s="2" t="s">
        <v>268</v>
      </c>
      <c r="N62" s="2" t="s">
        <v>269</v>
      </c>
    </row>
    <row r="63" spans="2:26" outlineLevel="1" x14ac:dyDescent="0.3">
      <c r="B63" s="2" t="s">
        <v>262</v>
      </c>
      <c r="C63" s="2" t="s">
        <v>43</v>
      </c>
      <c r="D63" s="2" t="s">
        <v>263</v>
      </c>
      <c r="E63" s="2" t="s">
        <v>264</v>
      </c>
      <c r="F63" s="2">
        <v>1</v>
      </c>
      <c r="G63" s="2">
        <v>0.04</v>
      </c>
      <c r="H63" s="2" t="s">
        <v>43</v>
      </c>
      <c r="I63" s="2" t="s">
        <v>43</v>
      </c>
      <c r="J63" s="2" t="s">
        <v>43</v>
      </c>
      <c r="K63" s="2" t="s">
        <v>43</v>
      </c>
      <c r="L63" s="2" t="s">
        <v>86</v>
      </c>
      <c r="M63" s="2" t="s">
        <v>262</v>
      </c>
      <c r="N63" s="2" t="s">
        <v>263</v>
      </c>
      <c r="Y63" s="3"/>
      <c r="Z63" s="3"/>
    </row>
    <row r="64" spans="2:26" outlineLevel="1" x14ac:dyDescent="0.3">
      <c r="B64" s="2" t="s">
        <v>268</v>
      </c>
      <c r="C64" s="2" t="s">
        <v>43</v>
      </c>
      <c r="D64" s="2" t="s">
        <v>269</v>
      </c>
      <c r="E64" s="2" t="s">
        <v>270</v>
      </c>
      <c r="F64" s="2">
        <v>406</v>
      </c>
      <c r="G64" s="2">
        <v>0.57999999999999996</v>
      </c>
      <c r="H64" s="2" t="s">
        <v>43</v>
      </c>
      <c r="I64" s="2" t="s">
        <v>43</v>
      </c>
      <c r="J64" s="2" t="s">
        <v>43</v>
      </c>
      <c r="K64" s="2" t="s">
        <v>43</v>
      </c>
      <c r="L64" s="2" t="s">
        <v>86</v>
      </c>
      <c r="M64" s="2" t="s">
        <v>265</v>
      </c>
      <c r="N64" s="2" t="s">
        <v>266</v>
      </c>
    </row>
    <row r="65" spans="2:26" outlineLevel="1" x14ac:dyDescent="0.3">
      <c r="B65" s="2" t="s">
        <v>273</v>
      </c>
      <c r="C65" s="2" t="s">
        <v>43</v>
      </c>
      <c r="D65" s="2" t="s">
        <v>274</v>
      </c>
      <c r="E65" s="3">
        <v>4.2599999999999999E-2</v>
      </c>
      <c r="F65" s="2" t="s">
        <v>275</v>
      </c>
      <c r="G65" s="2">
        <v>1.94</v>
      </c>
      <c r="H65" s="2">
        <v>67.790000000000006</v>
      </c>
      <c r="I65" s="2" t="s">
        <v>276</v>
      </c>
      <c r="J65" s="3">
        <v>0.66700000000000004</v>
      </c>
      <c r="K65" s="2" t="s">
        <v>43</v>
      </c>
      <c r="L65" s="2" t="s">
        <v>86</v>
      </c>
      <c r="M65" s="2" t="s">
        <v>273</v>
      </c>
      <c r="N65" s="2" t="s">
        <v>274</v>
      </c>
      <c r="Q65" s="3"/>
      <c r="S65" s="3"/>
      <c r="U65" s="3"/>
      <c r="V65" s="3"/>
      <c r="W65" s="3"/>
      <c r="X65" s="3"/>
      <c r="Y65" s="3"/>
      <c r="Z65" s="3"/>
    </row>
    <row r="66" spans="2:26" outlineLevel="1" x14ac:dyDescent="0.3">
      <c r="B66" s="2" t="s">
        <v>271</v>
      </c>
      <c r="C66" s="2" t="s">
        <v>43</v>
      </c>
      <c r="D66" s="2" t="s">
        <v>272</v>
      </c>
      <c r="E66" s="3">
        <v>4.9700000000000001E-2</v>
      </c>
      <c r="F66" s="2">
        <v>171</v>
      </c>
      <c r="G66" s="2">
        <v>0.83</v>
      </c>
      <c r="H66" s="2" t="s">
        <v>43</v>
      </c>
      <c r="I66" s="2" t="s">
        <v>43</v>
      </c>
      <c r="J66" s="2" t="s">
        <v>43</v>
      </c>
      <c r="K66" s="2" t="s">
        <v>43</v>
      </c>
      <c r="L66" s="2" t="s">
        <v>86</v>
      </c>
      <c r="M66" s="2" t="s">
        <v>414</v>
      </c>
      <c r="N66" s="2" t="s">
        <v>415</v>
      </c>
    </row>
    <row r="67" spans="2:26" x14ac:dyDescent="0.3">
      <c r="E67" s="3"/>
    </row>
    <row r="68" spans="2:26" x14ac:dyDescent="0.3">
      <c r="E68" s="3"/>
    </row>
    <row r="69" spans="2:26" x14ac:dyDescent="0.3">
      <c r="E69" s="3"/>
    </row>
    <row r="70" spans="2:26" ht="18" x14ac:dyDescent="0.35">
      <c r="B70" s="36" t="s">
        <v>737</v>
      </c>
      <c r="C70" s="37"/>
      <c r="D70" s="37"/>
      <c r="E70" s="39"/>
      <c r="F70" s="37"/>
      <c r="G70" s="37"/>
      <c r="H70" s="37"/>
      <c r="I70" s="37"/>
      <c r="J70" s="37"/>
      <c r="K70" s="37"/>
      <c r="L70" s="37"/>
      <c r="M70" s="37"/>
      <c r="N70" s="37"/>
      <c r="O70" s="37"/>
    </row>
    <row r="71" spans="2:26" x14ac:dyDescent="0.3">
      <c r="B71" s="40" t="s">
        <v>738</v>
      </c>
      <c r="C71" s="37"/>
      <c r="D71" s="37"/>
      <c r="E71" s="39"/>
      <c r="F71" s="37"/>
      <c r="G71" s="37"/>
      <c r="H71" s="37"/>
      <c r="I71" s="37"/>
      <c r="J71" s="37"/>
      <c r="K71" s="37"/>
      <c r="L71" s="37"/>
      <c r="M71" s="37"/>
      <c r="N71" s="37"/>
      <c r="O71" s="37"/>
    </row>
    <row r="72" spans="2:26" x14ac:dyDescent="0.3">
      <c r="V72" s="3"/>
      <c r="Y72" s="3"/>
      <c r="Z72" s="3"/>
    </row>
    <row r="73" spans="2:26" outlineLevel="1" x14ac:dyDescent="0.3">
      <c r="B73" s="4" t="s">
        <v>27</v>
      </c>
      <c r="C73" s="4" t="s">
        <v>28</v>
      </c>
      <c r="D73" s="4" t="s">
        <v>29</v>
      </c>
      <c r="E73" s="4" t="s">
        <v>30</v>
      </c>
      <c r="F73" s="4" t="s">
        <v>31</v>
      </c>
      <c r="G73" s="4" t="s">
        <v>32</v>
      </c>
      <c r="H73" s="4" t="s">
        <v>1059</v>
      </c>
      <c r="S73" s="3"/>
      <c r="U73" s="3"/>
      <c r="V73" s="3"/>
      <c r="Y73" s="3"/>
      <c r="Z73" s="3"/>
    </row>
    <row r="74" spans="2:26" outlineLevel="1" x14ac:dyDescent="0.3">
      <c r="B74" s="2" t="s">
        <v>33</v>
      </c>
      <c r="C74" s="2" t="s">
        <v>46</v>
      </c>
      <c r="D74" s="3">
        <v>1.0699999999999999E-2</v>
      </c>
      <c r="E74" s="2" t="s">
        <v>34</v>
      </c>
      <c r="F74" s="2" t="s">
        <v>35</v>
      </c>
      <c r="G74" s="2">
        <v>31</v>
      </c>
      <c r="H74" s="3">
        <v>0.61799999999999999</v>
      </c>
      <c r="R74" s="3"/>
      <c r="S74" s="3"/>
      <c r="T74" s="3"/>
      <c r="U74" s="3"/>
      <c r="V74" s="3"/>
      <c r="W74" s="3"/>
      <c r="X74" s="3"/>
      <c r="Z74" s="3"/>
    </row>
    <row r="75" spans="2:26" outlineLevel="1" x14ac:dyDescent="0.3">
      <c r="B75" s="2" t="s">
        <v>36</v>
      </c>
      <c r="C75" s="2" t="s">
        <v>47</v>
      </c>
      <c r="D75" s="3">
        <v>2.23E-2</v>
      </c>
      <c r="E75" s="2" t="s">
        <v>37</v>
      </c>
      <c r="F75" s="2" t="s">
        <v>38</v>
      </c>
      <c r="G75" s="2">
        <v>9</v>
      </c>
      <c r="H75" s="3">
        <v>0.155</v>
      </c>
      <c r="S75" s="3"/>
      <c r="V75" s="3"/>
      <c r="Z75" s="3"/>
    </row>
    <row r="76" spans="2:26" outlineLevel="1" x14ac:dyDescent="0.3">
      <c r="B76" s="2" t="s">
        <v>39</v>
      </c>
      <c r="C76" s="2" t="s">
        <v>48</v>
      </c>
      <c r="D76" s="3">
        <v>2.6700000000000002E-2</v>
      </c>
      <c r="E76" s="2" t="s">
        <v>40</v>
      </c>
      <c r="F76" s="2" t="s">
        <v>41</v>
      </c>
      <c r="G76" s="2">
        <v>8</v>
      </c>
      <c r="H76" s="3">
        <v>0.22700000000000001</v>
      </c>
      <c r="V76" s="3"/>
      <c r="W76" s="3"/>
      <c r="X76" s="3"/>
      <c r="Y76" s="3"/>
      <c r="Z76" s="3"/>
    </row>
    <row r="77" spans="2:26" outlineLevel="1" x14ac:dyDescent="0.3">
      <c r="B77" s="2" t="s">
        <v>42</v>
      </c>
      <c r="C77" s="2" t="s">
        <v>49</v>
      </c>
      <c r="D77" s="2" t="s">
        <v>43</v>
      </c>
      <c r="E77" s="2" t="s">
        <v>44</v>
      </c>
      <c r="F77" s="2" t="s">
        <v>45</v>
      </c>
      <c r="G77" s="2">
        <v>1</v>
      </c>
      <c r="H77" s="2" t="s">
        <v>1060</v>
      </c>
      <c r="O77" s="3"/>
      <c r="P77" s="3"/>
      <c r="S77" s="3"/>
      <c r="Y77" s="3"/>
      <c r="Z77" s="3"/>
    </row>
    <row r="78" spans="2:26" outlineLevel="1" x14ac:dyDescent="0.3">
      <c r="O78" s="3"/>
      <c r="P78" s="3"/>
      <c r="S78" s="3"/>
      <c r="Y78" s="3"/>
      <c r="Z78" s="3"/>
    </row>
    <row r="79" spans="2:26" outlineLevel="1" x14ac:dyDescent="0.3">
      <c r="B79" s="2" t="s">
        <v>754</v>
      </c>
      <c r="O79" s="3"/>
      <c r="P79" s="3"/>
      <c r="S79" s="3"/>
      <c r="Y79" s="3"/>
      <c r="Z79" s="3"/>
    </row>
    <row r="80" spans="2:26" outlineLevel="1" x14ac:dyDescent="0.3">
      <c r="B80" s="2" t="s">
        <v>755</v>
      </c>
      <c r="O80" s="3"/>
      <c r="P80" s="3"/>
      <c r="S80" s="3"/>
      <c r="Y80" s="3"/>
      <c r="Z80" s="3"/>
    </row>
    <row r="81" spans="2:26" outlineLevel="1" x14ac:dyDescent="0.3">
      <c r="B81" s="2" t="s">
        <v>756</v>
      </c>
      <c r="O81" s="3"/>
      <c r="P81" s="3"/>
      <c r="S81" s="3"/>
      <c r="Y81" s="3"/>
      <c r="Z81" s="3"/>
    </row>
    <row r="82" spans="2:26" outlineLevel="1" x14ac:dyDescent="0.3">
      <c r="B82" s="2" t="s">
        <v>757</v>
      </c>
      <c r="O82" s="3"/>
      <c r="P82" s="3"/>
      <c r="S82" s="3"/>
      <c r="Y82" s="3"/>
      <c r="Z82" s="3"/>
    </row>
    <row r="83" spans="2:26" outlineLevel="1" x14ac:dyDescent="0.3">
      <c r="B83" s="2" t="s">
        <v>758</v>
      </c>
      <c r="O83" s="3"/>
      <c r="P83" s="3"/>
      <c r="S83" s="3"/>
      <c r="Y83" s="3"/>
      <c r="Z83" s="3"/>
    </row>
    <row r="84" spans="2:26" outlineLevel="1" x14ac:dyDescent="0.3">
      <c r="O84" s="3"/>
      <c r="P84" s="3"/>
      <c r="S84" s="3"/>
      <c r="Y84" s="3"/>
      <c r="Z84" s="3"/>
    </row>
    <row r="85" spans="2:26" outlineLevel="1" x14ac:dyDescent="0.3">
      <c r="O85" s="3"/>
      <c r="P85" s="3"/>
      <c r="S85" s="3"/>
      <c r="Y85" s="3"/>
      <c r="Z85" s="3"/>
    </row>
    <row r="86" spans="2:26" outlineLevel="1" x14ac:dyDescent="0.3">
      <c r="O86" s="3"/>
      <c r="P86" s="3"/>
      <c r="S86" s="3"/>
      <c r="Y86" s="3"/>
      <c r="Z86" s="3"/>
    </row>
    <row r="87" spans="2:26" outlineLevel="1" x14ac:dyDescent="0.3">
      <c r="O87" s="3"/>
      <c r="P87" s="3"/>
      <c r="S87" s="3"/>
      <c r="Y87" s="3"/>
      <c r="Z87" s="3"/>
    </row>
    <row r="88" spans="2:26" x14ac:dyDescent="0.3">
      <c r="O88" s="3"/>
      <c r="V88" s="3"/>
      <c r="W88" s="3"/>
      <c r="X88" s="3"/>
      <c r="Y88" s="3"/>
      <c r="Z88" s="3"/>
    </row>
    <row r="90" spans="2:26" ht="18" x14ac:dyDescent="0.35">
      <c r="B90" s="36" t="s">
        <v>745</v>
      </c>
      <c r="C90" s="37"/>
      <c r="D90" s="37"/>
      <c r="E90" s="37"/>
      <c r="F90" s="37"/>
      <c r="G90" s="37"/>
      <c r="H90" s="37"/>
      <c r="I90" s="37"/>
      <c r="J90" s="37"/>
      <c r="K90" s="37"/>
      <c r="L90" s="37"/>
      <c r="M90" s="37"/>
      <c r="N90" s="37"/>
      <c r="O90" s="37"/>
    </row>
    <row r="91" spans="2:26" x14ac:dyDescent="0.3">
      <c r="B91" s="40" t="s">
        <v>746</v>
      </c>
      <c r="C91" s="37"/>
      <c r="D91" s="37"/>
      <c r="E91" s="37"/>
      <c r="F91" s="37"/>
      <c r="G91" s="37"/>
      <c r="H91" s="37"/>
      <c r="I91" s="37"/>
      <c r="J91" s="37"/>
      <c r="K91" s="37"/>
      <c r="L91" s="37"/>
      <c r="M91" s="37"/>
      <c r="N91" s="37"/>
      <c r="O91" s="37"/>
    </row>
    <row r="93" spans="2:26" outlineLevel="1" x14ac:dyDescent="0.3"/>
    <row r="94" spans="2:26" outlineLevel="1" x14ac:dyDescent="0.3">
      <c r="B94" s="4" t="s">
        <v>50</v>
      </c>
      <c r="C94" s="4" t="s">
        <v>28</v>
      </c>
      <c r="D94" s="4" t="s">
        <v>51</v>
      </c>
      <c r="E94" s="4" t="s">
        <v>30</v>
      </c>
      <c r="F94" s="4" t="s">
        <v>31</v>
      </c>
      <c r="G94" s="4" t="s">
        <v>52</v>
      </c>
      <c r="H94" s="4" t="s">
        <v>18</v>
      </c>
      <c r="I94" s="4" t="s">
        <v>53</v>
      </c>
      <c r="J94" s="4" t="s">
        <v>54</v>
      </c>
      <c r="K94" s="4" t="s">
        <v>55</v>
      </c>
      <c r="L94" s="4" t="s">
        <v>56</v>
      </c>
      <c r="M94" s="4" t="s">
        <v>57</v>
      </c>
    </row>
    <row r="95" spans="2:26" outlineLevel="1" x14ac:dyDescent="0.3">
      <c r="B95" s="2" t="s">
        <v>169</v>
      </c>
      <c r="C95" s="2" t="s">
        <v>170</v>
      </c>
      <c r="D95" s="2" t="s">
        <v>171</v>
      </c>
      <c r="E95" s="2" t="s">
        <v>172</v>
      </c>
      <c r="F95" s="2" t="s">
        <v>173</v>
      </c>
      <c r="G95" s="2">
        <v>1.23</v>
      </c>
      <c r="H95" s="2">
        <v>5.04</v>
      </c>
      <c r="I95" s="2" t="s">
        <v>174</v>
      </c>
      <c r="J95" s="3">
        <v>0.60799999999999998</v>
      </c>
      <c r="K95" s="3">
        <v>7.4800000000000005E-2</v>
      </c>
      <c r="L95" s="2" t="s">
        <v>64</v>
      </c>
      <c r="M95" s="2" t="s">
        <v>73</v>
      </c>
    </row>
    <row r="96" spans="2:26" outlineLevel="1" x14ac:dyDescent="0.3">
      <c r="B96" s="2" t="s">
        <v>175</v>
      </c>
      <c r="C96" s="2" t="s">
        <v>176</v>
      </c>
      <c r="D96" s="2" t="s">
        <v>177</v>
      </c>
      <c r="E96" s="2" t="s">
        <v>178</v>
      </c>
      <c r="F96" s="2" t="s">
        <v>179</v>
      </c>
      <c r="G96" s="2">
        <v>0.61</v>
      </c>
      <c r="H96" s="2" t="s">
        <v>43</v>
      </c>
      <c r="I96" s="2" t="s">
        <v>43</v>
      </c>
      <c r="J96" s="2" t="s">
        <v>43</v>
      </c>
      <c r="K96" s="3">
        <v>0</v>
      </c>
      <c r="L96" s="2" t="s">
        <v>64</v>
      </c>
      <c r="M96" s="2" t="s">
        <v>73</v>
      </c>
    </row>
    <row r="97" spans="2:13" outlineLevel="1" x14ac:dyDescent="0.3">
      <c r="B97" s="2" t="s">
        <v>180</v>
      </c>
      <c r="C97" s="2" t="s">
        <v>181</v>
      </c>
      <c r="D97" s="2" t="s">
        <v>182</v>
      </c>
      <c r="E97" s="2" t="s">
        <v>183</v>
      </c>
      <c r="F97" s="2" t="s">
        <v>184</v>
      </c>
      <c r="G97" s="2">
        <v>0.66</v>
      </c>
      <c r="H97" s="2">
        <v>33.61</v>
      </c>
      <c r="I97" s="2" t="s">
        <v>185</v>
      </c>
      <c r="J97" s="3">
        <v>0.19769999999999999</v>
      </c>
      <c r="K97" s="3">
        <v>0</v>
      </c>
      <c r="L97" s="2" t="s">
        <v>64</v>
      </c>
      <c r="M97" s="2" t="s">
        <v>73</v>
      </c>
    </row>
    <row r="98" spans="2:13" outlineLevel="1" x14ac:dyDescent="0.3">
      <c r="B98" s="2" t="s">
        <v>116</v>
      </c>
      <c r="C98" s="2" t="s">
        <v>117</v>
      </c>
      <c r="D98" s="2" t="s">
        <v>118</v>
      </c>
      <c r="E98" s="2" t="s">
        <v>119</v>
      </c>
      <c r="F98" s="2" t="s">
        <v>120</v>
      </c>
      <c r="G98" s="2">
        <v>1.08</v>
      </c>
      <c r="H98" s="2">
        <v>12.57</v>
      </c>
      <c r="I98" s="2" t="s">
        <v>121</v>
      </c>
      <c r="J98" s="3">
        <v>0.42309999999999998</v>
      </c>
      <c r="K98" s="3">
        <v>1.2500000000000001E-2</v>
      </c>
      <c r="L98" s="2" t="s">
        <v>64</v>
      </c>
      <c r="M98" s="2" t="s">
        <v>73</v>
      </c>
    </row>
    <row r="99" spans="2:13" outlineLevel="1" x14ac:dyDescent="0.3">
      <c r="B99" s="2" t="s">
        <v>186</v>
      </c>
      <c r="C99" s="2" t="s">
        <v>187</v>
      </c>
      <c r="D99" s="2" t="s">
        <v>188</v>
      </c>
      <c r="E99" s="2" t="s">
        <v>189</v>
      </c>
      <c r="F99" s="2" t="s">
        <v>190</v>
      </c>
      <c r="G99" s="2">
        <v>3.1</v>
      </c>
      <c r="H99" s="2">
        <v>12.02</v>
      </c>
      <c r="I99" s="2" t="s">
        <v>191</v>
      </c>
      <c r="J99" s="2" t="s">
        <v>192</v>
      </c>
      <c r="K99" s="3">
        <v>2.64E-2</v>
      </c>
      <c r="L99" s="2" t="s">
        <v>64</v>
      </c>
      <c r="M99" s="2" t="s">
        <v>73</v>
      </c>
    </row>
    <row r="100" spans="2:13" outlineLevel="1" x14ac:dyDescent="0.3">
      <c r="B100" s="2" t="s">
        <v>129</v>
      </c>
      <c r="C100" s="2" t="s">
        <v>130</v>
      </c>
      <c r="D100" s="2" t="s">
        <v>131</v>
      </c>
      <c r="E100" s="2" t="s">
        <v>132</v>
      </c>
      <c r="F100" s="2" t="s">
        <v>133</v>
      </c>
      <c r="G100" s="2">
        <v>0.57999999999999996</v>
      </c>
      <c r="H100" s="2">
        <v>15.4</v>
      </c>
      <c r="I100" s="2" t="s">
        <v>134</v>
      </c>
      <c r="J100" s="3">
        <v>2.69E-2</v>
      </c>
      <c r="K100" s="3">
        <v>3.4500000000000003E-2</v>
      </c>
      <c r="L100" s="2" t="s">
        <v>64</v>
      </c>
      <c r="M100" s="2" t="s">
        <v>73</v>
      </c>
    </row>
    <row r="101" spans="2:13" outlineLevel="1" x14ac:dyDescent="0.3">
      <c r="B101" s="2" t="s">
        <v>66</v>
      </c>
      <c r="C101" s="2" t="s">
        <v>67</v>
      </c>
      <c r="D101" s="2" t="s">
        <v>68</v>
      </c>
      <c r="E101" s="2" t="s">
        <v>69</v>
      </c>
      <c r="F101" s="2" t="s">
        <v>70</v>
      </c>
      <c r="G101" s="2">
        <v>1.39</v>
      </c>
      <c r="H101" s="2">
        <v>22.29</v>
      </c>
      <c r="I101" s="2" t="s">
        <v>71</v>
      </c>
      <c r="J101" s="2" t="s">
        <v>72</v>
      </c>
      <c r="K101" s="3">
        <v>0</v>
      </c>
      <c r="L101" s="2" t="s">
        <v>64</v>
      </c>
      <c r="M101" s="2" t="s">
        <v>73</v>
      </c>
    </row>
    <row r="102" spans="2:13" outlineLevel="1" x14ac:dyDescent="0.3">
      <c r="B102" s="2" t="s">
        <v>74</v>
      </c>
      <c r="C102" s="2" t="s">
        <v>75</v>
      </c>
      <c r="D102" s="2" t="s">
        <v>76</v>
      </c>
      <c r="E102" s="2" t="s">
        <v>77</v>
      </c>
      <c r="F102" s="2" t="s">
        <v>78</v>
      </c>
      <c r="G102" s="2">
        <v>0.84</v>
      </c>
      <c r="H102" s="2">
        <v>79.59</v>
      </c>
      <c r="I102" s="2" t="s">
        <v>79</v>
      </c>
      <c r="J102" s="3">
        <v>0.80459999999999998</v>
      </c>
      <c r="K102" s="3">
        <v>0</v>
      </c>
      <c r="L102" s="2" t="s">
        <v>64</v>
      </c>
      <c r="M102" s="2" t="s">
        <v>73</v>
      </c>
    </row>
    <row r="103" spans="2:13" outlineLevel="1" x14ac:dyDescent="0.3">
      <c r="B103" s="2" t="s">
        <v>87</v>
      </c>
      <c r="C103" s="2" t="s">
        <v>88</v>
      </c>
      <c r="D103" s="2" t="s">
        <v>89</v>
      </c>
      <c r="E103" s="2" t="s">
        <v>90</v>
      </c>
      <c r="F103" s="2" t="s">
        <v>91</v>
      </c>
      <c r="G103" s="2">
        <v>1.65</v>
      </c>
      <c r="H103" s="2">
        <v>51.16</v>
      </c>
      <c r="I103" s="2" t="s">
        <v>92</v>
      </c>
      <c r="J103" s="3">
        <v>3.2812999999999999</v>
      </c>
      <c r="K103" s="3">
        <v>0</v>
      </c>
      <c r="L103" s="2" t="s">
        <v>64</v>
      </c>
      <c r="M103" s="2" t="s">
        <v>73</v>
      </c>
    </row>
    <row r="104" spans="2:13" outlineLevel="1" x14ac:dyDescent="0.3">
      <c r="B104" s="2" t="s">
        <v>98</v>
      </c>
      <c r="C104" s="2" t="s">
        <v>99</v>
      </c>
      <c r="D104" s="2" t="s">
        <v>100</v>
      </c>
      <c r="E104" s="2" t="s">
        <v>101</v>
      </c>
      <c r="F104" s="2" t="s">
        <v>102</v>
      </c>
      <c r="G104" s="2">
        <v>1.04</v>
      </c>
      <c r="H104" s="2">
        <v>39.18</v>
      </c>
      <c r="I104" s="2" t="s">
        <v>103</v>
      </c>
      <c r="J104" s="3">
        <v>1.4500000000000001E-2</v>
      </c>
      <c r="K104" s="3">
        <v>4.3E-3</v>
      </c>
      <c r="L104" s="2" t="s">
        <v>64</v>
      </c>
      <c r="M104" s="2" t="s">
        <v>65</v>
      </c>
    </row>
    <row r="105" spans="2:13" outlineLevel="1" x14ac:dyDescent="0.3">
      <c r="B105" s="2" t="s">
        <v>58</v>
      </c>
      <c r="C105" s="2" t="s">
        <v>59</v>
      </c>
      <c r="D105" s="2" t="s">
        <v>60</v>
      </c>
      <c r="E105" s="2" t="s">
        <v>61</v>
      </c>
      <c r="F105" s="2" t="s">
        <v>62</v>
      </c>
      <c r="G105" s="2">
        <v>1.01</v>
      </c>
      <c r="H105" s="2">
        <v>13.04</v>
      </c>
      <c r="I105" s="2" t="s">
        <v>63</v>
      </c>
      <c r="J105" s="3">
        <v>7.5999999999999998E-2</v>
      </c>
      <c r="K105" s="3">
        <v>2.6599999999999999E-2</v>
      </c>
      <c r="L105" s="2" t="s">
        <v>64</v>
      </c>
      <c r="M105" s="2" t="s">
        <v>65</v>
      </c>
    </row>
    <row r="106" spans="2:13" outlineLevel="1" x14ac:dyDescent="0.3">
      <c r="B106" s="2" t="s">
        <v>237</v>
      </c>
      <c r="C106" s="2" t="s">
        <v>238</v>
      </c>
      <c r="D106" s="2" t="s">
        <v>239</v>
      </c>
      <c r="E106" s="2" t="s">
        <v>240</v>
      </c>
      <c r="F106" s="2" t="s">
        <v>241</v>
      </c>
      <c r="G106" s="2">
        <v>0.21</v>
      </c>
      <c r="H106" s="2" t="s">
        <v>43</v>
      </c>
      <c r="I106" s="2" t="s">
        <v>242</v>
      </c>
      <c r="J106" s="2" t="s">
        <v>243</v>
      </c>
      <c r="K106" s="3">
        <v>0</v>
      </c>
      <c r="L106" s="2" t="s">
        <v>64</v>
      </c>
      <c r="M106" s="2" t="s">
        <v>86</v>
      </c>
    </row>
    <row r="107" spans="2:13" outlineLevel="1" x14ac:dyDescent="0.3">
      <c r="B107" s="2" t="s">
        <v>212</v>
      </c>
      <c r="C107" s="2" t="s">
        <v>213</v>
      </c>
      <c r="D107" s="2" t="s">
        <v>214</v>
      </c>
      <c r="E107" s="3">
        <v>2.4400000000000002E-2</v>
      </c>
      <c r="F107" s="2" t="s">
        <v>215</v>
      </c>
      <c r="G107" s="2">
        <v>2.0299999999999998</v>
      </c>
      <c r="H107" s="2">
        <v>134.19</v>
      </c>
      <c r="I107" s="2" t="s">
        <v>216</v>
      </c>
      <c r="J107" s="2" t="s">
        <v>217</v>
      </c>
      <c r="K107" s="3">
        <v>4.8999999999999998E-3</v>
      </c>
      <c r="L107" s="2" t="s">
        <v>64</v>
      </c>
      <c r="M107" s="2" t="s">
        <v>86</v>
      </c>
    </row>
    <row r="108" spans="2:13" outlineLevel="1" x14ac:dyDescent="0.3">
      <c r="B108" s="2" t="s">
        <v>104</v>
      </c>
      <c r="C108" s="2" t="s">
        <v>105</v>
      </c>
      <c r="D108" s="2" t="s">
        <v>106</v>
      </c>
      <c r="E108" s="2" t="s">
        <v>107</v>
      </c>
      <c r="F108" s="2" t="s">
        <v>108</v>
      </c>
      <c r="G108" s="2">
        <v>0.91</v>
      </c>
      <c r="H108" s="2">
        <v>24.21</v>
      </c>
      <c r="I108" s="2" t="s">
        <v>109</v>
      </c>
      <c r="J108" s="3">
        <v>6.4500000000000002E-2</v>
      </c>
      <c r="K108" s="3">
        <v>2.4799999999999999E-2</v>
      </c>
      <c r="L108" s="2" t="s">
        <v>64</v>
      </c>
      <c r="M108" s="2" t="s">
        <v>86</v>
      </c>
    </row>
    <row r="109" spans="2:13" outlineLevel="1" x14ac:dyDescent="0.3">
      <c r="B109" s="2" t="s">
        <v>244</v>
      </c>
      <c r="C109" s="2" t="s">
        <v>245</v>
      </c>
      <c r="D109" s="2" t="s">
        <v>246</v>
      </c>
      <c r="E109" s="2" t="s">
        <v>247</v>
      </c>
      <c r="F109" s="2" t="s">
        <v>248</v>
      </c>
      <c r="G109" s="2">
        <v>2.62</v>
      </c>
      <c r="H109" s="2">
        <v>101.78</v>
      </c>
      <c r="I109" s="2" t="s">
        <v>249</v>
      </c>
      <c r="J109" s="2" t="s">
        <v>43</v>
      </c>
      <c r="K109" s="3">
        <v>0</v>
      </c>
      <c r="L109" s="2" t="s">
        <v>64</v>
      </c>
      <c r="M109" s="2" t="s">
        <v>86</v>
      </c>
    </row>
    <row r="110" spans="2:13" outlineLevel="1" x14ac:dyDescent="0.3">
      <c r="B110" s="2" t="s">
        <v>110</v>
      </c>
      <c r="C110" s="2" t="s">
        <v>111</v>
      </c>
      <c r="D110" s="2" t="s">
        <v>112</v>
      </c>
      <c r="E110" s="2" t="s">
        <v>113</v>
      </c>
      <c r="F110" s="2" t="s">
        <v>114</v>
      </c>
      <c r="G110" s="2">
        <v>0.93</v>
      </c>
      <c r="H110" s="2">
        <v>21.04</v>
      </c>
      <c r="I110" s="2" t="s">
        <v>115</v>
      </c>
      <c r="J110" s="3">
        <v>0.27829999999999999</v>
      </c>
      <c r="K110" s="3">
        <v>1.4800000000000001E-2</v>
      </c>
      <c r="L110" s="2" t="s">
        <v>64</v>
      </c>
      <c r="M110" s="2" t="s">
        <v>86</v>
      </c>
    </row>
    <row r="111" spans="2:13" outlineLevel="1" x14ac:dyDescent="0.3">
      <c r="B111" s="2" t="s">
        <v>250</v>
      </c>
      <c r="C111" s="2" t="s">
        <v>251</v>
      </c>
      <c r="D111" s="2" t="s">
        <v>252</v>
      </c>
      <c r="E111" s="2" t="s">
        <v>253</v>
      </c>
      <c r="F111" s="2" t="s">
        <v>254</v>
      </c>
      <c r="G111" s="2">
        <v>0.67</v>
      </c>
      <c r="H111" s="2" t="s">
        <v>43</v>
      </c>
      <c r="I111" s="2" t="s">
        <v>43</v>
      </c>
      <c r="J111" s="2" t="s">
        <v>43</v>
      </c>
      <c r="K111" s="2" t="s">
        <v>43</v>
      </c>
      <c r="L111" s="2" t="s">
        <v>64</v>
      </c>
      <c r="M111" s="2" t="s">
        <v>86</v>
      </c>
    </row>
    <row r="112" spans="2:13" outlineLevel="1" x14ac:dyDescent="0.3">
      <c r="B112" s="2" t="s">
        <v>155</v>
      </c>
      <c r="C112" s="2" t="s">
        <v>156</v>
      </c>
      <c r="D112" s="2" t="s">
        <v>157</v>
      </c>
      <c r="E112" s="2" t="s">
        <v>158</v>
      </c>
      <c r="F112" s="2" t="s">
        <v>159</v>
      </c>
      <c r="G112" s="2">
        <v>0.93</v>
      </c>
      <c r="H112" s="2">
        <v>3.1</v>
      </c>
      <c r="I112" s="2" t="s">
        <v>160</v>
      </c>
      <c r="J112" s="2" t="s">
        <v>161</v>
      </c>
      <c r="K112" s="3">
        <v>0</v>
      </c>
      <c r="L112" s="2" t="s">
        <v>64</v>
      </c>
      <c r="M112" s="2" t="s">
        <v>86</v>
      </c>
    </row>
    <row r="113" spans="2:13" outlineLevel="1" x14ac:dyDescent="0.3">
      <c r="B113" s="2" t="s">
        <v>162</v>
      </c>
      <c r="C113" s="2" t="s">
        <v>163</v>
      </c>
      <c r="D113" s="2" t="s">
        <v>164</v>
      </c>
      <c r="E113" s="2" t="s">
        <v>165</v>
      </c>
      <c r="F113" s="2" t="s">
        <v>166</v>
      </c>
      <c r="G113" s="2">
        <v>1.27</v>
      </c>
      <c r="H113" s="2">
        <v>58.59</v>
      </c>
      <c r="I113" s="2" t="s">
        <v>167</v>
      </c>
      <c r="J113" s="2" t="s">
        <v>168</v>
      </c>
      <c r="K113" s="3">
        <v>0</v>
      </c>
      <c r="L113" s="2" t="s">
        <v>64</v>
      </c>
      <c r="M113" s="2" t="s">
        <v>86</v>
      </c>
    </row>
    <row r="114" spans="2:13" outlineLevel="1" x14ac:dyDescent="0.3">
      <c r="B114" s="2" t="s">
        <v>218</v>
      </c>
      <c r="C114" s="2" t="s">
        <v>219</v>
      </c>
      <c r="D114" s="2" t="s">
        <v>220</v>
      </c>
      <c r="E114" s="2" t="s">
        <v>221</v>
      </c>
      <c r="F114" s="2" t="s">
        <v>222</v>
      </c>
      <c r="G114" s="2">
        <v>0.53</v>
      </c>
      <c r="H114" s="2">
        <v>8.56</v>
      </c>
      <c r="I114" s="2" t="s">
        <v>223</v>
      </c>
      <c r="J114" s="3">
        <v>1.0194000000000001</v>
      </c>
      <c r="K114" s="3">
        <v>0</v>
      </c>
      <c r="L114" s="2" t="s">
        <v>64</v>
      </c>
      <c r="M114" s="2" t="s">
        <v>86</v>
      </c>
    </row>
    <row r="115" spans="2:13" outlineLevel="1" x14ac:dyDescent="0.3">
      <c r="B115" s="2" t="s">
        <v>122</v>
      </c>
      <c r="C115" s="2" t="s">
        <v>123</v>
      </c>
      <c r="D115" s="2" t="s">
        <v>124</v>
      </c>
      <c r="E115" s="2" t="s">
        <v>125</v>
      </c>
      <c r="F115" s="2" t="s">
        <v>126</v>
      </c>
      <c r="G115" s="2">
        <v>1.88</v>
      </c>
      <c r="H115" s="2">
        <v>50.28</v>
      </c>
      <c r="I115" s="2" t="s">
        <v>127</v>
      </c>
      <c r="J115" s="2" t="s">
        <v>128</v>
      </c>
      <c r="K115" s="3">
        <v>1.9699999999999999E-2</v>
      </c>
      <c r="L115" s="2" t="s">
        <v>64</v>
      </c>
      <c r="M115" s="2" t="s">
        <v>86</v>
      </c>
    </row>
    <row r="116" spans="2:13" outlineLevel="1" x14ac:dyDescent="0.3">
      <c r="B116" s="2" t="s">
        <v>224</v>
      </c>
      <c r="C116" s="2" t="s">
        <v>225</v>
      </c>
      <c r="D116" s="2" t="s">
        <v>226</v>
      </c>
      <c r="E116" s="2" t="s">
        <v>227</v>
      </c>
      <c r="F116" s="2" t="s">
        <v>228</v>
      </c>
      <c r="G116" s="2">
        <v>0.9</v>
      </c>
      <c r="H116" s="2" t="s">
        <v>43</v>
      </c>
      <c r="I116" s="2" t="s">
        <v>229</v>
      </c>
      <c r="J116" s="3">
        <v>0.83230000000000004</v>
      </c>
      <c r="K116" s="3">
        <v>1.9300000000000001E-2</v>
      </c>
      <c r="L116" s="2" t="s">
        <v>64</v>
      </c>
      <c r="M116" s="2" t="s">
        <v>86</v>
      </c>
    </row>
    <row r="117" spans="2:13" outlineLevel="1" x14ac:dyDescent="0.3">
      <c r="B117" s="2" t="s">
        <v>230</v>
      </c>
      <c r="C117" s="2" t="s">
        <v>231</v>
      </c>
      <c r="D117" s="2" t="s">
        <v>232</v>
      </c>
      <c r="E117" s="2" t="s">
        <v>233</v>
      </c>
      <c r="F117" s="2" t="s">
        <v>234</v>
      </c>
      <c r="G117" s="2">
        <v>0.26</v>
      </c>
      <c r="H117" s="2">
        <v>90.88</v>
      </c>
      <c r="I117" s="2" t="s">
        <v>235</v>
      </c>
      <c r="J117" s="2" t="s">
        <v>236</v>
      </c>
      <c r="K117" s="3">
        <v>0</v>
      </c>
      <c r="L117" s="2" t="s">
        <v>64</v>
      </c>
      <c r="M117" s="2" t="s">
        <v>86</v>
      </c>
    </row>
    <row r="118" spans="2:13" outlineLevel="1" x14ac:dyDescent="0.3">
      <c r="B118" s="2" t="s">
        <v>255</v>
      </c>
      <c r="C118" s="2" t="s">
        <v>256</v>
      </c>
      <c r="D118" s="2" t="s">
        <v>257</v>
      </c>
      <c r="E118" s="2" t="s">
        <v>258</v>
      </c>
      <c r="F118" s="2" t="s">
        <v>259</v>
      </c>
      <c r="G118" s="2">
        <v>1.08</v>
      </c>
      <c r="H118" s="2" t="s">
        <v>43</v>
      </c>
      <c r="I118" s="2" t="s">
        <v>260</v>
      </c>
      <c r="J118" s="2" t="s">
        <v>261</v>
      </c>
      <c r="K118" s="3">
        <v>0</v>
      </c>
      <c r="L118" s="2" t="s">
        <v>64</v>
      </c>
      <c r="M118" s="2" t="s">
        <v>86</v>
      </c>
    </row>
    <row r="119" spans="2:13" outlineLevel="1" x14ac:dyDescent="0.3">
      <c r="B119" s="2" t="s">
        <v>135</v>
      </c>
      <c r="C119" s="2" t="s">
        <v>136</v>
      </c>
      <c r="D119" s="2" t="s">
        <v>137</v>
      </c>
      <c r="E119" s="2" t="s">
        <v>138</v>
      </c>
      <c r="F119" s="2" t="s">
        <v>139</v>
      </c>
      <c r="G119" s="2">
        <v>0.79</v>
      </c>
      <c r="H119" s="2">
        <v>15.94</v>
      </c>
      <c r="I119" s="2" t="s">
        <v>140</v>
      </c>
      <c r="J119" s="2" t="s">
        <v>141</v>
      </c>
      <c r="K119" s="3">
        <v>1.7100000000000001E-2</v>
      </c>
      <c r="L119" s="2" t="s">
        <v>64</v>
      </c>
      <c r="M119" s="2" t="s">
        <v>86</v>
      </c>
    </row>
    <row r="120" spans="2:13" outlineLevel="1" x14ac:dyDescent="0.3">
      <c r="B120" s="2" t="s">
        <v>142</v>
      </c>
      <c r="C120" s="2" t="s">
        <v>143</v>
      </c>
      <c r="D120" s="2" t="s">
        <v>144</v>
      </c>
      <c r="E120" s="2" t="s">
        <v>145</v>
      </c>
      <c r="F120" s="2" t="s">
        <v>146</v>
      </c>
      <c r="G120" s="2">
        <v>2.11</v>
      </c>
      <c r="H120" s="2">
        <v>23.98</v>
      </c>
      <c r="I120" s="2" t="s">
        <v>147</v>
      </c>
      <c r="J120" s="3">
        <v>0.64170000000000005</v>
      </c>
      <c r="K120" s="3">
        <v>2.0000000000000001E-4</v>
      </c>
      <c r="L120" s="2" t="s">
        <v>64</v>
      </c>
      <c r="M120" s="2" t="s">
        <v>86</v>
      </c>
    </row>
    <row r="121" spans="2:13" outlineLevel="1" x14ac:dyDescent="0.3">
      <c r="B121" s="2" t="s">
        <v>193</v>
      </c>
      <c r="C121" s="2" t="s">
        <v>194</v>
      </c>
      <c r="D121" s="2" t="s">
        <v>195</v>
      </c>
      <c r="E121" s="2" t="s">
        <v>196</v>
      </c>
      <c r="F121" s="2" t="s">
        <v>197</v>
      </c>
      <c r="G121" s="2">
        <v>1.43</v>
      </c>
      <c r="H121" s="2">
        <v>19.71</v>
      </c>
      <c r="I121" s="2" t="s">
        <v>198</v>
      </c>
      <c r="J121" s="3">
        <v>1.0515000000000001</v>
      </c>
      <c r="K121" s="3">
        <v>0</v>
      </c>
      <c r="L121" s="2" t="s">
        <v>64</v>
      </c>
      <c r="M121" s="2" t="s">
        <v>86</v>
      </c>
    </row>
    <row r="122" spans="2:13" outlineLevel="1" x14ac:dyDescent="0.3">
      <c r="B122" s="2" t="s">
        <v>199</v>
      </c>
      <c r="C122" s="2" t="s">
        <v>200</v>
      </c>
      <c r="D122" s="2" t="s">
        <v>201</v>
      </c>
      <c r="E122" s="2" t="s">
        <v>202</v>
      </c>
      <c r="F122" s="2" t="s">
        <v>203</v>
      </c>
      <c r="G122" s="2">
        <v>0.43</v>
      </c>
      <c r="H122" s="2" t="s">
        <v>43</v>
      </c>
      <c r="I122" s="2" t="s">
        <v>204</v>
      </c>
      <c r="J122" s="2" t="s">
        <v>205</v>
      </c>
      <c r="K122" s="3">
        <v>1.4E-3</v>
      </c>
      <c r="L122" s="2" t="s">
        <v>64</v>
      </c>
      <c r="M122" s="2" t="s">
        <v>86</v>
      </c>
    </row>
    <row r="123" spans="2:13" outlineLevel="1" x14ac:dyDescent="0.3">
      <c r="B123" s="2" t="s">
        <v>206</v>
      </c>
      <c r="C123" s="2" t="s">
        <v>207</v>
      </c>
      <c r="D123" s="2" t="s">
        <v>208</v>
      </c>
      <c r="E123" s="2" t="s">
        <v>209</v>
      </c>
      <c r="F123" s="2" t="s">
        <v>210</v>
      </c>
      <c r="G123" s="2">
        <v>1.94</v>
      </c>
      <c r="H123" s="2">
        <v>26.58</v>
      </c>
      <c r="I123" s="2" t="s">
        <v>211</v>
      </c>
      <c r="J123" s="3">
        <v>0.25700000000000001</v>
      </c>
      <c r="K123" s="3">
        <v>0</v>
      </c>
      <c r="L123" s="2" t="s">
        <v>64</v>
      </c>
      <c r="M123" s="2" t="s">
        <v>86</v>
      </c>
    </row>
    <row r="124" spans="2:13" outlineLevel="1" x14ac:dyDescent="0.3">
      <c r="B124" s="2" t="s">
        <v>148</v>
      </c>
      <c r="C124" s="2" t="s">
        <v>149</v>
      </c>
      <c r="D124" s="2" t="s">
        <v>150</v>
      </c>
      <c r="E124" s="2" t="s">
        <v>151</v>
      </c>
      <c r="F124" s="2" t="s">
        <v>152</v>
      </c>
      <c r="G124" s="2">
        <v>0.51</v>
      </c>
      <c r="H124" s="2">
        <v>22.86</v>
      </c>
      <c r="I124" s="2" t="s">
        <v>153</v>
      </c>
      <c r="J124" s="2" t="s">
        <v>154</v>
      </c>
      <c r="K124" s="3">
        <v>0</v>
      </c>
      <c r="L124" s="2" t="s">
        <v>64</v>
      </c>
      <c r="M124" s="2" t="s">
        <v>86</v>
      </c>
    </row>
    <row r="125" spans="2:13" outlineLevel="1" x14ac:dyDescent="0.3">
      <c r="B125" s="2" t="s">
        <v>80</v>
      </c>
      <c r="C125" s="2" t="s">
        <v>81</v>
      </c>
      <c r="D125" s="2" t="s">
        <v>82</v>
      </c>
      <c r="E125" s="2" t="s">
        <v>83</v>
      </c>
      <c r="F125" s="2" t="s">
        <v>84</v>
      </c>
      <c r="G125" s="2">
        <v>1.53</v>
      </c>
      <c r="H125" s="2">
        <v>29.5</v>
      </c>
      <c r="I125" s="2" t="s">
        <v>85</v>
      </c>
      <c r="J125" s="3">
        <v>8.2900000000000001E-2</v>
      </c>
      <c r="K125" s="3">
        <v>5.8999999999999999E-3</v>
      </c>
      <c r="L125" s="2" t="s">
        <v>64</v>
      </c>
      <c r="M125" s="2" t="s">
        <v>86</v>
      </c>
    </row>
    <row r="126" spans="2:13" outlineLevel="1" x14ac:dyDescent="0.3">
      <c r="B126" s="2" t="s">
        <v>93</v>
      </c>
      <c r="C126" s="2" t="s">
        <v>94</v>
      </c>
      <c r="D126" s="2" t="s">
        <v>95</v>
      </c>
      <c r="E126" s="2" t="s">
        <v>96</v>
      </c>
      <c r="F126" s="2" t="s">
        <v>97</v>
      </c>
      <c r="G126" s="2">
        <v>0.24</v>
      </c>
      <c r="H126" s="2" t="s">
        <v>43</v>
      </c>
      <c r="I126" s="2" t="s">
        <v>43</v>
      </c>
      <c r="J126" s="2" t="s">
        <v>43</v>
      </c>
      <c r="K126" s="3">
        <v>0</v>
      </c>
      <c r="L126" s="2" t="s">
        <v>64</v>
      </c>
      <c r="M126" s="2" t="s">
        <v>86</v>
      </c>
    </row>
    <row r="127" spans="2:13" outlineLevel="1" x14ac:dyDescent="0.3">
      <c r="B127" s="2" t="s">
        <v>273</v>
      </c>
      <c r="C127" s="2" t="s">
        <v>43</v>
      </c>
      <c r="D127" s="2" t="s">
        <v>274</v>
      </c>
      <c r="E127" s="3">
        <v>4.2599999999999999E-2</v>
      </c>
      <c r="F127" s="2" t="s">
        <v>275</v>
      </c>
      <c r="G127" s="2">
        <v>1.94</v>
      </c>
      <c r="H127" s="2">
        <v>67.790000000000006</v>
      </c>
      <c r="I127" s="2" t="s">
        <v>276</v>
      </c>
      <c r="J127" s="3">
        <v>0.66700000000000004</v>
      </c>
      <c r="K127" s="2" t="s">
        <v>43</v>
      </c>
      <c r="L127" s="2" t="s">
        <v>64</v>
      </c>
      <c r="M127" s="2" t="s">
        <v>86</v>
      </c>
    </row>
    <row r="128" spans="2:13" outlineLevel="1" x14ac:dyDescent="0.3">
      <c r="B128" s="2" t="s">
        <v>265</v>
      </c>
      <c r="C128" s="2" t="s">
        <v>43</v>
      </c>
      <c r="D128" s="2" t="s">
        <v>266</v>
      </c>
      <c r="E128" s="2" t="s">
        <v>267</v>
      </c>
      <c r="F128" s="2">
        <v>997</v>
      </c>
      <c r="G128" s="2">
        <v>1.03</v>
      </c>
      <c r="H128" s="2" t="s">
        <v>43</v>
      </c>
      <c r="I128" s="2" t="s">
        <v>43</v>
      </c>
      <c r="J128" s="2" t="s">
        <v>43</v>
      </c>
      <c r="K128" s="2" t="s">
        <v>43</v>
      </c>
      <c r="L128" s="2" t="s">
        <v>64</v>
      </c>
      <c r="M128" s="2" t="s">
        <v>86</v>
      </c>
    </row>
    <row r="129" spans="2:15" outlineLevel="1" x14ac:dyDescent="0.3">
      <c r="B129" s="2" t="s">
        <v>271</v>
      </c>
      <c r="C129" s="2" t="s">
        <v>43</v>
      </c>
      <c r="D129" s="2" t="s">
        <v>272</v>
      </c>
      <c r="E129" s="3">
        <v>4.9700000000000001E-2</v>
      </c>
      <c r="F129" s="2">
        <v>171</v>
      </c>
      <c r="G129" s="2">
        <v>0.83</v>
      </c>
      <c r="H129" s="2" t="s">
        <v>43</v>
      </c>
      <c r="I129" s="2" t="s">
        <v>43</v>
      </c>
      <c r="J129" s="2" t="s">
        <v>43</v>
      </c>
      <c r="K129" s="2" t="s">
        <v>43</v>
      </c>
      <c r="L129" s="2" t="s">
        <v>64</v>
      </c>
      <c r="M129" s="2" t="s">
        <v>86</v>
      </c>
    </row>
    <row r="130" spans="2:15" outlineLevel="1" x14ac:dyDescent="0.3">
      <c r="B130" s="2" t="s">
        <v>262</v>
      </c>
      <c r="C130" s="2" t="s">
        <v>43</v>
      </c>
      <c r="D130" s="2" t="s">
        <v>263</v>
      </c>
      <c r="E130" s="2" t="s">
        <v>264</v>
      </c>
      <c r="F130" s="2">
        <v>1</v>
      </c>
      <c r="G130" s="2">
        <v>0.04</v>
      </c>
      <c r="H130" s="2" t="s">
        <v>43</v>
      </c>
      <c r="I130" s="2" t="s">
        <v>43</v>
      </c>
      <c r="J130" s="2" t="s">
        <v>43</v>
      </c>
      <c r="K130" s="2" t="s">
        <v>43</v>
      </c>
      <c r="L130" s="2" t="s">
        <v>64</v>
      </c>
      <c r="M130" s="2" t="s">
        <v>86</v>
      </c>
    </row>
    <row r="131" spans="2:15" outlineLevel="1" x14ac:dyDescent="0.3">
      <c r="B131" s="2" t="s">
        <v>268</v>
      </c>
      <c r="C131" s="2" t="s">
        <v>43</v>
      </c>
      <c r="D131" s="2" t="s">
        <v>269</v>
      </c>
      <c r="E131" s="2" t="s">
        <v>270</v>
      </c>
      <c r="F131" s="2">
        <v>406</v>
      </c>
      <c r="G131" s="2">
        <v>0.57999999999999996</v>
      </c>
      <c r="H131" s="2" t="s">
        <v>43</v>
      </c>
      <c r="I131" s="2" t="s">
        <v>43</v>
      </c>
      <c r="J131" s="2" t="s">
        <v>43</v>
      </c>
      <c r="K131" s="2" t="s">
        <v>43</v>
      </c>
      <c r="L131" s="2" t="s">
        <v>64</v>
      </c>
      <c r="M131" s="2" t="s">
        <v>86</v>
      </c>
    </row>
    <row r="134" spans="2:15" ht="18" x14ac:dyDescent="0.35">
      <c r="B134" s="36" t="s">
        <v>747</v>
      </c>
      <c r="C134" s="37"/>
      <c r="D134" s="37"/>
      <c r="E134" s="37"/>
      <c r="F134" s="37"/>
      <c r="G134" s="37"/>
      <c r="H134" s="37"/>
      <c r="I134" s="37"/>
      <c r="J134" s="37"/>
      <c r="K134" s="37"/>
      <c r="L134" s="37"/>
      <c r="M134" s="37"/>
      <c r="N134" s="37"/>
      <c r="O134" s="37"/>
    </row>
    <row r="135" spans="2:15" x14ac:dyDescent="0.3">
      <c r="B135" s="40" t="s">
        <v>748</v>
      </c>
      <c r="C135" s="37"/>
      <c r="D135" s="37"/>
      <c r="E135" s="37"/>
      <c r="F135" s="37"/>
      <c r="G135" s="37"/>
      <c r="H135" s="37"/>
      <c r="I135" s="37"/>
      <c r="J135" s="37"/>
      <c r="K135" s="37"/>
      <c r="L135" s="37"/>
      <c r="M135" s="37"/>
      <c r="N135" s="37"/>
      <c r="O135" s="37"/>
    </row>
    <row r="137" spans="2:15" outlineLevel="1" x14ac:dyDescent="0.3">
      <c r="B137" s="4" t="s">
        <v>426</v>
      </c>
      <c r="C137" s="4" t="s">
        <v>50</v>
      </c>
      <c r="D137" s="4" t="s">
        <v>28</v>
      </c>
      <c r="E137" s="4" t="s">
        <v>51</v>
      </c>
      <c r="F137" s="4" t="s">
        <v>30</v>
      </c>
      <c r="G137" s="4" t="s">
        <v>31</v>
      </c>
      <c r="H137" s="4" t="s">
        <v>52</v>
      </c>
      <c r="I137" s="4" t="s">
        <v>18</v>
      </c>
      <c r="J137" s="4" t="s">
        <v>53</v>
      </c>
      <c r="K137" s="4" t="s">
        <v>54</v>
      </c>
      <c r="L137" s="4" t="s">
        <v>55</v>
      </c>
      <c r="M137" s="4" t="s">
        <v>56</v>
      </c>
      <c r="N137" s="4" t="s">
        <v>57</v>
      </c>
    </row>
    <row r="138" spans="2:15" outlineLevel="1" x14ac:dyDescent="0.3">
      <c r="B138" s="2" t="s">
        <v>546</v>
      </c>
      <c r="C138" s="2" t="s">
        <v>485</v>
      </c>
      <c r="D138" s="2" t="s">
        <v>349</v>
      </c>
      <c r="E138" s="2" t="s">
        <v>350</v>
      </c>
      <c r="F138" s="2" t="s">
        <v>351</v>
      </c>
      <c r="G138" s="2" t="s">
        <v>352</v>
      </c>
      <c r="H138" s="2">
        <v>0.75</v>
      </c>
      <c r="I138" s="2">
        <v>10.050000000000001</v>
      </c>
      <c r="J138" s="2" t="s">
        <v>353</v>
      </c>
      <c r="K138" s="2" t="s">
        <v>354</v>
      </c>
      <c r="L138" s="3">
        <v>4.41E-2</v>
      </c>
      <c r="M138" s="2" t="s">
        <v>64</v>
      </c>
      <c r="N138" s="2" t="s">
        <v>65</v>
      </c>
    </row>
    <row r="139" spans="2:15" outlineLevel="1" x14ac:dyDescent="0.3">
      <c r="B139" s="2" t="s">
        <v>543</v>
      </c>
      <c r="C139" s="2" t="s">
        <v>545</v>
      </c>
      <c r="D139" s="2" t="s">
        <v>356</v>
      </c>
      <c r="E139" s="2" t="s">
        <v>357</v>
      </c>
      <c r="F139" s="2" t="s">
        <v>358</v>
      </c>
      <c r="G139" s="2" t="s">
        <v>359</v>
      </c>
      <c r="H139" s="2">
        <v>2.2200000000000002</v>
      </c>
      <c r="I139" s="2">
        <v>101.43</v>
      </c>
      <c r="J139" s="2" t="s">
        <v>360</v>
      </c>
      <c r="K139" s="2" t="s">
        <v>361</v>
      </c>
      <c r="L139" s="3">
        <v>4.0000000000000002E-4</v>
      </c>
      <c r="M139" s="2" t="s">
        <v>64</v>
      </c>
      <c r="N139" s="2" t="s">
        <v>86</v>
      </c>
    </row>
    <row r="140" spans="2:15" outlineLevel="1" x14ac:dyDescent="0.3">
      <c r="B140" s="2" t="s">
        <v>542</v>
      </c>
      <c r="C140" s="2" t="s">
        <v>547</v>
      </c>
      <c r="D140" s="2" t="s">
        <v>363</v>
      </c>
      <c r="E140" s="2" t="s">
        <v>364</v>
      </c>
      <c r="F140" s="2" t="s">
        <v>365</v>
      </c>
      <c r="G140" s="2" t="s">
        <v>366</v>
      </c>
      <c r="H140" s="2">
        <v>0.5</v>
      </c>
      <c r="I140" s="2">
        <v>11.07</v>
      </c>
      <c r="J140" s="2" t="s">
        <v>367</v>
      </c>
      <c r="K140" s="2" t="s">
        <v>368</v>
      </c>
      <c r="L140" s="3">
        <v>3.6400000000000002E-2</v>
      </c>
      <c r="M140" s="2" t="s">
        <v>64</v>
      </c>
      <c r="N140" s="2" t="s">
        <v>86</v>
      </c>
    </row>
    <row r="141" spans="2:15" outlineLevel="1" x14ac:dyDescent="0.3">
      <c r="B141" s="2" t="s">
        <v>541</v>
      </c>
      <c r="C141" s="2" t="s">
        <v>548</v>
      </c>
      <c r="D141" s="2" t="s">
        <v>370</v>
      </c>
      <c r="E141" s="2" t="s">
        <v>371</v>
      </c>
      <c r="F141" s="2" t="s">
        <v>372</v>
      </c>
      <c r="G141" s="2" t="s">
        <v>373</v>
      </c>
      <c r="H141" s="2">
        <v>0.56000000000000005</v>
      </c>
      <c r="I141" s="2">
        <v>24.69</v>
      </c>
      <c r="J141" s="2" t="s">
        <v>374</v>
      </c>
      <c r="K141" s="2" t="s">
        <v>375</v>
      </c>
      <c r="L141" s="3">
        <v>1.43E-2</v>
      </c>
      <c r="M141" s="2" t="s">
        <v>64</v>
      </c>
      <c r="N141" s="2" t="s">
        <v>86</v>
      </c>
    </row>
    <row r="142" spans="2:15" outlineLevel="1" x14ac:dyDescent="0.3">
      <c r="B142" s="2" t="s">
        <v>540</v>
      </c>
      <c r="C142" s="2" t="s">
        <v>481</v>
      </c>
      <c r="D142" s="2" t="s">
        <v>377</v>
      </c>
      <c r="E142" s="2" t="s">
        <v>378</v>
      </c>
      <c r="F142" s="2" t="s">
        <v>379</v>
      </c>
      <c r="G142" s="2" t="s">
        <v>380</v>
      </c>
      <c r="H142" s="2">
        <v>0.48</v>
      </c>
      <c r="I142" s="2">
        <v>16.22</v>
      </c>
      <c r="J142" s="2" t="s">
        <v>381</v>
      </c>
      <c r="K142" s="2" t="s">
        <v>382</v>
      </c>
      <c r="L142" s="3">
        <v>2.2200000000000001E-2</v>
      </c>
      <c r="M142" s="2" t="s">
        <v>64</v>
      </c>
      <c r="N142" s="2" t="s">
        <v>65</v>
      </c>
    </row>
    <row r="143" spans="2:15" outlineLevel="1" x14ac:dyDescent="0.3">
      <c r="B143" s="2" t="s">
        <v>539</v>
      </c>
      <c r="C143" s="2" t="s">
        <v>480</v>
      </c>
      <c r="D143" s="2" t="s">
        <v>384</v>
      </c>
      <c r="E143" s="2" t="s">
        <v>385</v>
      </c>
      <c r="F143" s="2" t="s">
        <v>386</v>
      </c>
      <c r="G143" s="2" t="s">
        <v>387</v>
      </c>
      <c r="H143" s="2">
        <v>0.09</v>
      </c>
      <c r="I143" s="2">
        <v>14.75</v>
      </c>
      <c r="J143" s="2" t="s">
        <v>388</v>
      </c>
      <c r="K143" s="2" t="s">
        <v>389</v>
      </c>
      <c r="L143" s="3">
        <v>1.7000000000000001E-2</v>
      </c>
      <c r="M143" s="2" t="s">
        <v>64</v>
      </c>
      <c r="N143" s="2" t="s">
        <v>65</v>
      </c>
    </row>
    <row r="144" spans="2:15" outlineLevel="1" x14ac:dyDescent="0.3">
      <c r="B144" s="2" t="s">
        <v>538</v>
      </c>
      <c r="C144" s="2" t="s">
        <v>549</v>
      </c>
      <c r="D144" s="2" t="s">
        <v>391</v>
      </c>
      <c r="E144" s="2" t="s">
        <v>392</v>
      </c>
      <c r="F144" s="2" t="s">
        <v>393</v>
      </c>
      <c r="G144" s="2" t="s">
        <v>394</v>
      </c>
      <c r="H144" s="2">
        <v>1.28</v>
      </c>
      <c r="I144" s="2">
        <v>11.34</v>
      </c>
      <c r="J144" s="2" t="s">
        <v>395</v>
      </c>
      <c r="K144" s="2" t="s">
        <v>396</v>
      </c>
      <c r="L144" s="3">
        <v>2.5600000000000001E-2</v>
      </c>
      <c r="M144" s="2" t="s">
        <v>64</v>
      </c>
      <c r="N144" s="2" t="s">
        <v>65</v>
      </c>
    </row>
    <row r="145" spans="2:15" outlineLevel="1" x14ac:dyDescent="0.3">
      <c r="B145" s="2" t="s">
        <v>551</v>
      </c>
      <c r="C145" s="2" t="s">
        <v>550</v>
      </c>
      <c r="D145" s="2" t="s">
        <v>398</v>
      </c>
      <c r="E145" s="2" t="s">
        <v>399</v>
      </c>
      <c r="F145" s="3">
        <v>1.7399999999999999E-2</v>
      </c>
      <c r="G145" s="2" t="s">
        <v>400</v>
      </c>
      <c r="H145" s="2">
        <v>1.57</v>
      </c>
      <c r="I145" s="2">
        <v>6.6</v>
      </c>
      <c r="J145" s="2" t="s">
        <v>401</v>
      </c>
      <c r="K145" s="2" t="s">
        <v>43</v>
      </c>
      <c r="L145" s="3">
        <v>0</v>
      </c>
      <c r="M145" s="2" t="s">
        <v>64</v>
      </c>
      <c r="N145" s="2" t="s">
        <v>86</v>
      </c>
    </row>
    <row r="146" spans="2:15" outlineLevel="1" x14ac:dyDescent="0.3">
      <c r="B146" s="2" t="s">
        <v>537</v>
      </c>
      <c r="C146" s="2" t="s">
        <v>478</v>
      </c>
      <c r="D146" s="2" t="s">
        <v>403</v>
      </c>
      <c r="E146" s="2" t="s">
        <v>404</v>
      </c>
      <c r="F146" s="2" t="s">
        <v>405</v>
      </c>
      <c r="G146" s="2" t="s">
        <v>406</v>
      </c>
      <c r="H146" s="2">
        <v>2.6</v>
      </c>
      <c r="I146" s="2">
        <v>8.4700000000000006</v>
      </c>
      <c r="J146" s="2" t="s">
        <v>407</v>
      </c>
      <c r="K146" s="2" t="s">
        <v>43</v>
      </c>
      <c r="L146" s="3">
        <v>0</v>
      </c>
      <c r="M146" s="2" t="s">
        <v>64</v>
      </c>
      <c r="N146" s="2" t="s">
        <v>86</v>
      </c>
    </row>
    <row r="147" spans="2:15" outlineLevel="1" x14ac:dyDescent="0.3">
      <c r="B147" s="2" t="s">
        <v>553</v>
      </c>
      <c r="C147" s="2" t="s">
        <v>552</v>
      </c>
      <c r="D147" s="2" t="s">
        <v>409</v>
      </c>
      <c r="E147" s="2" t="s">
        <v>410</v>
      </c>
      <c r="F147" s="2" t="s">
        <v>411</v>
      </c>
      <c r="G147" s="2" t="s">
        <v>412</v>
      </c>
      <c r="H147" s="2">
        <v>0.65</v>
      </c>
      <c r="I147" s="2">
        <v>8.73</v>
      </c>
      <c r="J147" s="2" t="s">
        <v>413</v>
      </c>
      <c r="K147" s="3">
        <v>0.39589999999999997</v>
      </c>
      <c r="L147" s="3">
        <v>0</v>
      </c>
      <c r="M147" s="2" t="s">
        <v>64</v>
      </c>
      <c r="N147" s="2" t="s">
        <v>86</v>
      </c>
    </row>
    <row r="148" spans="2:15" outlineLevel="1" x14ac:dyDescent="0.3">
      <c r="B148" s="2" t="s">
        <v>555</v>
      </c>
      <c r="C148" s="2" t="s">
        <v>554</v>
      </c>
      <c r="D148" s="2" t="s">
        <v>43</v>
      </c>
      <c r="E148" s="2" t="s">
        <v>415</v>
      </c>
      <c r="F148" s="3">
        <v>2.1100000000000001E-2</v>
      </c>
      <c r="G148" s="2">
        <v>49</v>
      </c>
      <c r="H148" s="2">
        <v>0.14000000000000001</v>
      </c>
      <c r="I148" s="2" t="s">
        <v>43</v>
      </c>
      <c r="J148" s="2" t="s">
        <v>43</v>
      </c>
      <c r="K148" s="2" t="s">
        <v>43</v>
      </c>
      <c r="L148" s="2" t="s">
        <v>43</v>
      </c>
      <c r="M148" s="2" t="s">
        <v>64</v>
      </c>
      <c r="N148" s="2" t="s">
        <v>416</v>
      </c>
    </row>
    <row r="149" spans="2:15" outlineLevel="1" x14ac:dyDescent="0.3"/>
    <row r="153" spans="2:15" ht="18" x14ac:dyDescent="0.35">
      <c r="B153" s="36" t="s">
        <v>749</v>
      </c>
      <c r="C153" s="37"/>
      <c r="D153" s="37"/>
      <c r="E153" s="37"/>
      <c r="F153" s="37"/>
      <c r="G153" s="37"/>
      <c r="H153" s="37"/>
      <c r="I153" s="37"/>
      <c r="J153" s="37"/>
      <c r="K153" s="37"/>
      <c r="L153" s="37"/>
      <c r="M153" s="37"/>
      <c r="N153" s="37"/>
      <c r="O153" s="37"/>
    </row>
    <row r="154" spans="2:15" ht="18" x14ac:dyDescent="0.35">
      <c r="B154" s="40" t="s">
        <v>750</v>
      </c>
      <c r="C154" s="36"/>
      <c r="D154" s="36"/>
      <c r="E154" s="36"/>
      <c r="F154" s="36"/>
      <c r="G154" s="36"/>
      <c r="H154" s="36"/>
      <c r="I154" s="36"/>
      <c r="J154" s="36"/>
      <c r="K154" s="36"/>
      <c r="L154" s="36"/>
      <c r="M154" s="36"/>
      <c r="N154" s="36"/>
      <c r="O154" s="36"/>
    </row>
    <row r="156" spans="2:15" outlineLevel="1" x14ac:dyDescent="0.3">
      <c r="B156" s="4" t="s">
        <v>426</v>
      </c>
      <c r="C156" s="4" t="s">
        <v>50</v>
      </c>
      <c r="D156" s="4" t="s">
        <v>28</v>
      </c>
      <c r="E156" s="4" t="s">
        <v>51</v>
      </c>
      <c r="F156" s="4" t="s">
        <v>30</v>
      </c>
      <c r="G156" s="4" t="s">
        <v>31</v>
      </c>
      <c r="H156" s="4" t="s">
        <v>52</v>
      </c>
      <c r="I156" s="4" t="s">
        <v>18</v>
      </c>
      <c r="J156" s="4" t="s">
        <v>53</v>
      </c>
      <c r="K156" s="4" t="s">
        <v>54</v>
      </c>
      <c r="L156" s="4" t="s">
        <v>55</v>
      </c>
      <c r="M156" s="4" t="s">
        <v>56</v>
      </c>
      <c r="N156" s="4" t="s">
        <v>57</v>
      </c>
    </row>
    <row r="157" spans="2:15" outlineLevel="1" x14ac:dyDescent="0.3">
      <c r="B157" s="2" t="s">
        <v>534</v>
      </c>
      <c r="C157" s="2" t="s">
        <v>556</v>
      </c>
      <c r="D157" s="2" t="s">
        <v>49</v>
      </c>
      <c r="E157" s="2" t="s">
        <v>420</v>
      </c>
      <c r="F157" s="2" t="s">
        <v>44</v>
      </c>
      <c r="G157" s="2" t="s">
        <v>45</v>
      </c>
      <c r="H157" s="2">
        <v>0.52</v>
      </c>
      <c r="I157" s="2">
        <v>17.739999999999998</v>
      </c>
      <c r="J157" s="2" t="s">
        <v>421</v>
      </c>
      <c r="K157" s="2" t="s">
        <v>43</v>
      </c>
      <c r="L157" s="3">
        <v>0</v>
      </c>
      <c r="M157" s="2" t="s">
        <v>64</v>
      </c>
      <c r="N157" s="2" t="s">
        <v>86</v>
      </c>
    </row>
    <row r="158" spans="2:15" outlineLevel="1" x14ac:dyDescent="0.3">
      <c r="B158" s="2" t="s">
        <v>558</v>
      </c>
      <c r="C158" s="2" t="s">
        <v>557</v>
      </c>
      <c r="D158" s="2" t="s">
        <v>423</v>
      </c>
      <c r="E158" s="2" t="s">
        <v>424</v>
      </c>
      <c r="F158" s="2" t="s">
        <v>417</v>
      </c>
      <c r="G158" s="2" t="s">
        <v>418</v>
      </c>
      <c r="H158" s="2">
        <v>0.71</v>
      </c>
      <c r="I158" s="2">
        <v>57.28</v>
      </c>
      <c r="J158" s="2" t="s">
        <v>235</v>
      </c>
      <c r="K158" s="2" t="s">
        <v>43</v>
      </c>
      <c r="L158" s="3">
        <v>0</v>
      </c>
      <c r="M158" s="2" t="s">
        <v>64</v>
      </c>
      <c r="N158" s="2" t="s">
        <v>86</v>
      </c>
    </row>
    <row r="159" spans="2:15" x14ac:dyDescent="0.3">
      <c r="B159"/>
      <c r="C159"/>
      <c r="D159"/>
      <c r="E159"/>
      <c r="F159"/>
      <c r="G159"/>
      <c r="H159"/>
      <c r="I159"/>
      <c r="J159"/>
      <c r="K159"/>
      <c r="L159" s="1"/>
      <c r="M159"/>
      <c r="N159"/>
    </row>
    <row r="160" spans="2:15" x14ac:dyDescent="0.3">
      <c r="B160"/>
      <c r="C160"/>
      <c r="D160"/>
      <c r="E160"/>
      <c r="F160"/>
      <c r="G160"/>
      <c r="H160"/>
      <c r="I160"/>
      <c r="J160"/>
      <c r="K160"/>
      <c r="L160" s="1"/>
      <c r="M160"/>
      <c r="N160"/>
    </row>
    <row r="162" spans="2:15" ht="18" x14ac:dyDescent="0.35">
      <c r="B162" s="36" t="s">
        <v>751</v>
      </c>
      <c r="C162" s="36"/>
      <c r="D162" s="36"/>
      <c r="E162" s="36"/>
      <c r="F162" s="36"/>
      <c r="G162" s="36"/>
      <c r="H162" s="36"/>
      <c r="I162" s="36"/>
      <c r="J162" s="36"/>
      <c r="K162" s="36"/>
      <c r="L162" s="36"/>
      <c r="M162" s="36"/>
      <c r="N162" s="36"/>
      <c r="O162" s="36"/>
    </row>
    <row r="163" spans="2:15" ht="18" x14ac:dyDescent="0.35">
      <c r="B163" s="40" t="s">
        <v>752</v>
      </c>
      <c r="C163" s="36"/>
      <c r="D163" s="36"/>
      <c r="E163" s="36"/>
      <c r="F163" s="36"/>
      <c r="G163" s="36"/>
      <c r="H163" s="36"/>
      <c r="I163" s="36"/>
      <c r="J163" s="36"/>
      <c r="K163" s="36"/>
      <c r="L163" s="36"/>
      <c r="M163" s="36"/>
      <c r="N163" s="36"/>
      <c r="O163" s="36"/>
    </row>
    <row r="164" spans="2:15" x14ac:dyDescent="0.3">
      <c r="B164"/>
    </row>
    <row r="165" spans="2:15" outlineLevel="1" x14ac:dyDescent="0.3">
      <c r="B165" s="4" t="s">
        <v>50</v>
      </c>
      <c r="C165" s="4" t="s">
        <v>28</v>
      </c>
      <c r="D165" s="4" t="s">
        <v>51</v>
      </c>
      <c r="E165" s="4" t="s">
        <v>30</v>
      </c>
      <c r="F165" s="4" t="s">
        <v>31</v>
      </c>
      <c r="G165" s="4" t="s">
        <v>52</v>
      </c>
      <c r="H165" s="4" t="s">
        <v>18</v>
      </c>
      <c r="I165" s="4" t="s">
        <v>53</v>
      </c>
      <c r="J165" s="4" t="s">
        <v>54</v>
      </c>
      <c r="K165" s="4" t="s">
        <v>55</v>
      </c>
      <c r="L165" s="4" t="s">
        <v>56</v>
      </c>
      <c r="M165" s="4" t="s">
        <v>57</v>
      </c>
    </row>
    <row r="166" spans="2:15" outlineLevel="1" x14ac:dyDescent="0.3">
      <c r="B166" s="2" t="s">
        <v>277</v>
      </c>
      <c r="C166" s="2" t="s">
        <v>278</v>
      </c>
      <c r="D166" s="2" t="s">
        <v>279</v>
      </c>
      <c r="E166" s="2" t="s">
        <v>280</v>
      </c>
      <c r="F166" s="2" t="s">
        <v>281</v>
      </c>
      <c r="G166" s="2">
        <v>0.76</v>
      </c>
      <c r="H166" s="2">
        <v>16.28</v>
      </c>
      <c r="I166" s="2" t="s">
        <v>282</v>
      </c>
      <c r="J166" s="2" t="s">
        <v>283</v>
      </c>
      <c r="K166" s="3">
        <v>3.3399999999999999E-2</v>
      </c>
      <c r="L166" s="2" t="s">
        <v>64</v>
      </c>
      <c r="M166" s="2" t="s">
        <v>65</v>
      </c>
    </row>
    <row r="167" spans="2:15" outlineLevel="1" x14ac:dyDescent="0.3">
      <c r="B167" s="2" t="s">
        <v>284</v>
      </c>
      <c r="C167" s="2" t="s">
        <v>285</v>
      </c>
      <c r="D167" s="2" t="s">
        <v>286</v>
      </c>
      <c r="E167" s="2" t="s">
        <v>287</v>
      </c>
      <c r="F167" s="2" t="s">
        <v>288</v>
      </c>
      <c r="G167" s="2">
        <v>0.73</v>
      </c>
      <c r="H167" s="2">
        <v>124.96</v>
      </c>
      <c r="I167" s="2" t="s">
        <v>289</v>
      </c>
      <c r="J167" s="2" t="s">
        <v>43</v>
      </c>
      <c r="K167" s="3">
        <v>0</v>
      </c>
      <c r="L167" s="2" t="s">
        <v>64</v>
      </c>
      <c r="M167" s="2" t="s">
        <v>86</v>
      </c>
    </row>
    <row r="168" spans="2:15" outlineLevel="1" x14ac:dyDescent="0.3">
      <c r="B168" s="2" t="s">
        <v>290</v>
      </c>
      <c r="C168" s="2" t="s">
        <v>291</v>
      </c>
      <c r="D168" s="2" t="s">
        <v>292</v>
      </c>
      <c r="E168" s="2" t="s">
        <v>293</v>
      </c>
      <c r="F168" s="2" t="s">
        <v>294</v>
      </c>
      <c r="G168" s="2">
        <v>1.34</v>
      </c>
      <c r="H168" s="2">
        <v>51.45</v>
      </c>
      <c r="I168" s="2" t="s">
        <v>295</v>
      </c>
      <c r="J168" s="2" t="s">
        <v>296</v>
      </c>
      <c r="K168" s="3">
        <v>0</v>
      </c>
      <c r="L168" s="2" t="s">
        <v>64</v>
      </c>
      <c r="M168" s="2" t="s">
        <v>86</v>
      </c>
    </row>
    <row r="169" spans="2:15" outlineLevel="1" x14ac:dyDescent="0.3">
      <c r="B169" s="2" t="s">
        <v>297</v>
      </c>
      <c r="C169" s="2" t="s">
        <v>298</v>
      </c>
      <c r="D169" s="2" t="s">
        <v>299</v>
      </c>
      <c r="E169" s="2" t="s">
        <v>300</v>
      </c>
      <c r="F169" s="2" t="s">
        <v>301</v>
      </c>
      <c r="G169" s="2">
        <v>2.1</v>
      </c>
      <c r="H169" s="2">
        <v>28.15</v>
      </c>
      <c r="I169" s="2" t="s">
        <v>302</v>
      </c>
      <c r="J169" s="3">
        <v>0.74460000000000004</v>
      </c>
      <c r="K169" s="3">
        <v>2E-3</v>
      </c>
      <c r="L169" s="2" t="s">
        <v>64</v>
      </c>
      <c r="M169" s="2" t="s">
        <v>86</v>
      </c>
    </row>
    <row r="170" spans="2:15" outlineLevel="1" x14ac:dyDescent="0.3">
      <c r="B170" s="2" t="s">
        <v>303</v>
      </c>
      <c r="C170" s="2" t="s">
        <v>304</v>
      </c>
      <c r="D170" s="2" t="s">
        <v>305</v>
      </c>
      <c r="E170" s="2" t="s">
        <v>306</v>
      </c>
      <c r="F170" s="2" t="s">
        <v>307</v>
      </c>
      <c r="G170" s="2">
        <v>2.3199999999999998</v>
      </c>
      <c r="H170" s="2">
        <v>19.760000000000002</v>
      </c>
      <c r="I170" s="2" t="s">
        <v>308</v>
      </c>
      <c r="J170" s="3">
        <v>0.58209999999999995</v>
      </c>
      <c r="K170" s="3">
        <v>2E-3</v>
      </c>
      <c r="L170" s="2" t="s">
        <v>64</v>
      </c>
      <c r="M170" s="2" t="s">
        <v>73</v>
      </c>
    </row>
    <row r="171" spans="2:15" outlineLevel="1" x14ac:dyDescent="0.3">
      <c r="B171" s="2" t="s">
        <v>309</v>
      </c>
      <c r="C171" s="2" t="s">
        <v>310</v>
      </c>
      <c r="D171" s="2" t="s">
        <v>311</v>
      </c>
      <c r="E171" s="2" t="s">
        <v>312</v>
      </c>
      <c r="F171" s="2" t="s">
        <v>313</v>
      </c>
      <c r="G171" s="2">
        <v>1.64</v>
      </c>
      <c r="H171" s="2">
        <v>121.31</v>
      </c>
      <c r="I171" s="2" t="s">
        <v>314</v>
      </c>
      <c r="J171" s="3">
        <v>0.66139999999999999</v>
      </c>
      <c r="K171" s="3">
        <v>0</v>
      </c>
      <c r="L171" s="2" t="s">
        <v>64</v>
      </c>
      <c r="M171" s="2" t="s">
        <v>86</v>
      </c>
    </row>
    <row r="172" spans="2:15" outlineLevel="1" x14ac:dyDescent="0.3">
      <c r="B172" s="2" t="s">
        <v>315</v>
      </c>
      <c r="C172" s="2" t="s">
        <v>316</v>
      </c>
      <c r="D172" s="2" t="s">
        <v>317</v>
      </c>
      <c r="E172" s="2" t="s">
        <v>318</v>
      </c>
      <c r="F172" s="2" t="s">
        <v>319</v>
      </c>
      <c r="G172" s="2">
        <v>0.93</v>
      </c>
      <c r="H172" s="2">
        <v>38.28</v>
      </c>
      <c r="I172" s="2" t="s">
        <v>320</v>
      </c>
      <c r="J172" s="2" t="s">
        <v>43</v>
      </c>
      <c r="K172" s="3">
        <v>0</v>
      </c>
      <c r="L172" s="2" t="s">
        <v>64</v>
      </c>
      <c r="M172" s="2" t="s">
        <v>86</v>
      </c>
    </row>
    <row r="173" spans="2:15" outlineLevel="1" x14ac:dyDescent="0.3">
      <c r="B173" s="2" t="s">
        <v>321</v>
      </c>
      <c r="C173" s="2" t="s">
        <v>322</v>
      </c>
      <c r="D173" s="2" t="s">
        <v>323</v>
      </c>
      <c r="E173" s="2" t="s">
        <v>324</v>
      </c>
      <c r="F173" s="2" t="s">
        <v>325</v>
      </c>
      <c r="G173" s="2">
        <v>1.67</v>
      </c>
      <c r="H173" s="2">
        <v>17.059999999999999</v>
      </c>
      <c r="I173" s="2" t="s">
        <v>326</v>
      </c>
      <c r="J173" s="3">
        <v>0.71679999999999999</v>
      </c>
      <c r="K173" s="3">
        <v>2.3999999999999998E-3</v>
      </c>
      <c r="L173" s="2" t="s">
        <v>64</v>
      </c>
      <c r="M173" s="2" t="s">
        <v>86</v>
      </c>
    </row>
    <row r="174" spans="2:15" outlineLevel="1" x14ac:dyDescent="0.3">
      <c r="B174" s="2" t="s">
        <v>327</v>
      </c>
      <c r="C174" s="2" t="s">
        <v>328</v>
      </c>
      <c r="D174" s="2" t="s">
        <v>329</v>
      </c>
      <c r="E174" s="3">
        <v>4.99E-2</v>
      </c>
      <c r="F174" s="2" t="s">
        <v>330</v>
      </c>
      <c r="G174" s="2">
        <v>0.16</v>
      </c>
      <c r="H174" s="38">
        <v>1554.83</v>
      </c>
      <c r="I174" s="2" t="s">
        <v>331</v>
      </c>
      <c r="J174" s="2" t="s">
        <v>332</v>
      </c>
      <c r="K174" s="3">
        <v>0</v>
      </c>
      <c r="L174" s="2" t="s">
        <v>64</v>
      </c>
      <c r="M174" s="2" t="s">
        <v>86</v>
      </c>
    </row>
    <row r="175" spans="2:15" outlineLevel="1" x14ac:dyDescent="0.3">
      <c r="B175" s="2" t="s">
        <v>333</v>
      </c>
      <c r="C175" s="2" t="s">
        <v>334</v>
      </c>
      <c r="D175" s="2" t="s">
        <v>335</v>
      </c>
      <c r="E175" s="2" t="s">
        <v>336</v>
      </c>
      <c r="F175" s="2" t="s">
        <v>337</v>
      </c>
      <c r="G175" s="2">
        <v>1.17</v>
      </c>
      <c r="H175" s="2" t="s">
        <v>43</v>
      </c>
      <c r="I175" s="2" t="s">
        <v>43</v>
      </c>
      <c r="J175" s="2" t="s">
        <v>43</v>
      </c>
      <c r="K175" s="3">
        <v>0</v>
      </c>
      <c r="L175" s="2" t="s">
        <v>64</v>
      </c>
      <c r="M175" s="2" t="s">
        <v>86</v>
      </c>
    </row>
    <row r="176" spans="2:15" outlineLevel="1" x14ac:dyDescent="0.3">
      <c r="B176" s="2" t="s">
        <v>338</v>
      </c>
      <c r="C176" s="2" t="s">
        <v>339</v>
      </c>
      <c r="D176" s="2" t="s">
        <v>340</v>
      </c>
      <c r="E176" s="3">
        <v>0</v>
      </c>
      <c r="F176" s="2">
        <v>62</v>
      </c>
      <c r="G176" s="2">
        <v>0.04</v>
      </c>
      <c r="H176" s="2" t="s">
        <v>43</v>
      </c>
      <c r="I176" s="2" t="s">
        <v>341</v>
      </c>
      <c r="J176" s="2" t="s">
        <v>342</v>
      </c>
      <c r="K176" s="3">
        <v>0</v>
      </c>
      <c r="L176" s="2" t="s">
        <v>64</v>
      </c>
      <c r="M176" s="2" t="s">
        <v>86</v>
      </c>
    </row>
    <row r="177" spans="2:13" outlineLevel="1" x14ac:dyDescent="0.3">
      <c r="B177" s="2" t="s">
        <v>343</v>
      </c>
      <c r="C177" s="2" t="s">
        <v>344</v>
      </c>
      <c r="D177" s="2" t="s">
        <v>345</v>
      </c>
      <c r="E177" s="2" t="s">
        <v>346</v>
      </c>
      <c r="F177" s="2" t="s">
        <v>347</v>
      </c>
      <c r="G177" s="2">
        <v>1</v>
      </c>
      <c r="H177" s="2" t="s">
        <v>43</v>
      </c>
      <c r="I177" s="2" t="s">
        <v>204</v>
      </c>
      <c r="J177" s="3">
        <v>0.94130000000000003</v>
      </c>
      <c r="K177" s="3">
        <v>0</v>
      </c>
      <c r="L177" s="2" t="s">
        <v>64</v>
      </c>
      <c r="M177" s="2"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A77CE-D396-416D-A09C-E2E0DECDF2AA}">
  <dimension ref="A1:K166"/>
  <sheetViews>
    <sheetView showGridLines="0" topLeftCell="A49" workbookViewId="0">
      <selection activeCell="A68" sqref="A1:K68"/>
    </sheetView>
  </sheetViews>
  <sheetFormatPr defaultRowHeight="14.4" x14ac:dyDescent="0.3"/>
  <cols>
    <col min="1" max="1" width="43.33203125" customWidth="1"/>
    <col min="2" max="2" width="28.33203125" customWidth="1"/>
    <col min="3" max="3" width="31.5546875" customWidth="1"/>
    <col min="4" max="4" width="13.21875" customWidth="1"/>
    <col min="5" max="5" width="12.5546875" customWidth="1"/>
    <col min="6" max="6" width="17" customWidth="1"/>
  </cols>
  <sheetData>
    <row r="1" spans="1:7" x14ac:dyDescent="0.3">
      <c r="A1" s="54" t="s">
        <v>934</v>
      </c>
      <c r="B1" s="55"/>
      <c r="C1" s="55"/>
      <c r="D1" s="55"/>
      <c r="E1" s="55"/>
      <c r="F1" s="55"/>
      <c r="G1" s="55"/>
    </row>
    <row r="3" spans="1:7" x14ac:dyDescent="0.3">
      <c r="A3" s="53" t="s">
        <v>735</v>
      </c>
      <c r="B3" s="53" t="s">
        <v>935</v>
      </c>
      <c r="C3" s="53" t="s">
        <v>955</v>
      </c>
    </row>
    <row r="4" spans="1:7" x14ac:dyDescent="0.3">
      <c r="A4" t="s">
        <v>472</v>
      </c>
      <c r="B4" t="s">
        <v>926</v>
      </c>
      <c r="C4" t="s">
        <v>964</v>
      </c>
    </row>
    <row r="5" spans="1:7" x14ac:dyDescent="0.3">
      <c r="A5" t="s">
        <v>446</v>
      </c>
      <c r="B5" t="s">
        <v>965</v>
      </c>
      <c r="C5" t="s">
        <v>966</v>
      </c>
    </row>
    <row r="6" spans="1:7" x14ac:dyDescent="0.3">
      <c r="A6" t="s">
        <v>461</v>
      </c>
      <c r="B6" t="s">
        <v>967</v>
      </c>
      <c r="C6" t="s">
        <v>968</v>
      </c>
    </row>
    <row r="7" spans="1:7" x14ac:dyDescent="0.3">
      <c r="A7" t="s">
        <v>448</v>
      </c>
      <c r="B7" t="s">
        <v>927</v>
      </c>
      <c r="C7" t="s">
        <v>969</v>
      </c>
    </row>
    <row r="8" spans="1:7" x14ac:dyDescent="0.3">
      <c r="A8" t="s">
        <v>447</v>
      </c>
      <c r="B8" t="s">
        <v>932</v>
      </c>
      <c r="C8" t="s">
        <v>970</v>
      </c>
    </row>
    <row r="9" spans="1:7" x14ac:dyDescent="0.3">
      <c r="A9" t="s">
        <v>466</v>
      </c>
      <c r="B9" t="s">
        <v>931</v>
      </c>
      <c r="C9" t="s">
        <v>971</v>
      </c>
    </row>
    <row r="10" spans="1:7" x14ac:dyDescent="0.3">
      <c r="A10" t="s">
        <v>465</v>
      </c>
      <c r="B10" t="s">
        <v>928</v>
      </c>
      <c r="C10" t="s">
        <v>972</v>
      </c>
    </row>
    <row r="11" spans="1:7" x14ac:dyDescent="0.3">
      <c r="A11" t="s">
        <v>467</v>
      </c>
      <c r="B11" t="s">
        <v>973</v>
      </c>
      <c r="C11" t="s">
        <v>974</v>
      </c>
    </row>
    <row r="12" spans="1:7" x14ac:dyDescent="0.3">
      <c r="A12" t="s">
        <v>471</v>
      </c>
      <c r="B12" t="s">
        <v>929</v>
      </c>
      <c r="C12" t="s">
        <v>975</v>
      </c>
    </row>
    <row r="13" spans="1:7" x14ac:dyDescent="0.3">
      <c r="A13" t="s">
        <v>441</v>
      </c>
      <c r="B13" t="s">
        <v>976</v>
      </c>
      <c r="C13" t="s">
        <v>977</v>
      </c>
    </row>
    <row r="14" spans="1:7" x14ac:dyDescent="0.3">
      <c r="A14" t="s">
        <v>435</v>
      </c>
      <c r="B14" t="s">
        <v>978</v>
      </c>
      <c r="C14" t="s">
        <v>979</v>
      </c>
    </row>
    <row r="15" spans="1:7" x14ac:dyDescent="0.3">
      <c r="A15" t="s">
        <v>436</v>
      </c>
      <c r="B15" t="s">
        <v>952</v>
      </c>
      <c r="C15" t="s">
        <v>980</v>
      </c>
    </row>
    <row r="16" spans="1:7" x14ac:dyDescent="0.3">
      <c r="A16" t="s">
        <v>464</v>
      </c>
      <c r="B16" t="s">
        <v>981</v>
      </c>
      <c r="C16" t="s">
        <v>982</v>
      </c>
    </row>
    <row r="17" spans="1:8" x14ac:dyDescent="0.3">
      <c r="A17" t="s">
        <v>440</v>
      </c>
      <c r="B17" t="s">
        <v>983</v>
      </c>
      <c r="C17" t="s">
        <v>984</v>
      </c>
    </row>
    <row r="18" spans="1:8" x14ac:dyDescent="0.3">
      <c r="A18" t="s">
        <v>437</v>
      </c>
      <c r="B18" t="s">
        <v>985</v>
      </c>
      <c r="C18" t="s">
        <v>986</v>
      </c>
    </row>
    <row r="19" spans="1:8" x14ac:dyDescent="0.3">
      <c r="A19" t="s">
        <v>468</v>
      </c>
      <c r="B19" t="s">
        <v>987</v>
      </c>
      <c r="C19" t="s">
        <v>988</v>
      </c>
    </row>
    <row r="20" spans="1:8" x14ac:dyDescent="0.3">
      <c r="A20" t="s">
        <v>475</v>
      </c>
      <c r="B20" t="s">
        <v>989</v>
      </c>
      <c r="C20" t="s">
        <v>990</v>
      </c>
    </row>
    <row r="21" spans="1:8" x14ac:dyDescent="0.3">
      <c r="A21" t="s">
        <v>477</v>
      </c>
      <c r="B21" t="s">
        <v>991</v>
      </c>
      <c r="C21" t="s">
        <v>992</v>
      </c>
    </row>
    <row r="22" spans="1:8" x14ac:dyDescent="0.3">
      <c r="A22" t="s">
        <v>478</v>
      </c>
      <c r="B22" t="s">
        <v>993</v>
      </c>
      <c r="C22" t="s">
        <v>994</v>
      </c>
    </row>
    <row r="23" spans="1:8" x14ac:dyDescent="0.3">
      <c r="A23" t="s">
        <v>429</v>
      </c>
      <c r="B23" t="s">
        <v>978</v>
      </c>
      <c r="C23" t="s">
        <v>995</v>
      </c>
    </row>
    <row r="25" spans="1:8" x14ac:dyDescent="0.3">
      <c r="A25" s="60" t="s">
        <v>1058</v>
      </c>
      <c r="B25" s="60"/>
      <c r="C25" s="60"/>
      <c r="D25" s="60"/>
      <c r="E25" s="60"/>
      <c r="F25" s="60"/>
      <c r="G25" s="60"/>
      <c r="H25" s="60"/>
    </row>
    <row r="27" spans="1:8" x14ac:dyDescent="0.3">
      <c r="A27" s="54" t="s">
        <v>950</v>
      </c>
      <c r="B27" s="55"/>
      <c r="C27" s="55"/>
      <c r="D27" s="55"/>
      <c r="E27" s="55"/>
      <c r="F27" s="55"/>
      <c r="G27" s="54"/>
    </row>
    <row r="29" spans="1:8" x14ac:dyDescent="0.3">
      <c r="A29" s="53" t="s">
        <v>935</v>
      </c>
      <c r="B29" s="53" t="s">
        <v>936</v>
      </c>
      <c r="C29" s="53" t="s">
        <v>937</v>
      </c>
    </row>
    <row r="30" spans="1:8" x14ac:dyDescent="0.3">
      <c r="A30" t="s">
        <v>938</v>
      </c>
      <c r="B30" t="s">
        <v>939</v>
      </c>
      <c r="C30" t="s">
        <v>940</v>
      </c>
    </row>
    <row r="31" spans="1:8" x14ac:dyDescent="0.3">
      <c r="A31" t="s">
        <v>941</v>
      </c>
      <c r="B31" t="s">
        <v>942</v>
      </c>
      <c r="C31" t="s">
        <v>943</v>
      </c>
    </row>
    <row r="32" spans="1:8" x14ac:dyDescent="0.3">
      <c r="A32" t="s">
        <v>944</v>
      </c>
      <c r="B32" t="s">
        <v>945</v>
      </c>
      <c r="C32" t="s">
        <v>946</v>
      </c>
    </row>
    <row r="33" spans="1:3" x14ac:dyDescent="0.3">
      <c r="A33" t="s">
        <v>947</v>
      </c>
      <c r="B33" t="s">
        <v>948</v>
      </c>
      <c r="C33" t="s">
        <v>949</v>
      </c>
    </row>
    <row r="35" spans="1:3" x14ac:dyDescent="0.3">
      <c r="A35" s="53"/>
      <c r="B35" s="53"/>
      <c r="C35" s="53"/>
    </row>
    <row r="37" spans="1:3" x14ac:dyDescent="0.3">
      <c r="A37" s="53" t="s">
        <v>735</v>
      </c>
      <c r="B37" s="53" t="s">
        <v>935</v>
      </c>
      <c r="C37" s="53" t="s">
        <v>955</v>
      </c>
    </row>
    <row r="38" spans="1:3" x14ac:dyDescent="0.3">
      <c r="A38" t="s">
        <v>434</v>
      </c>
      <c r="B38" t="s">
        <v>996</v>
      </c>
      <c r="C38" t="s">
        <v>997</v>
      </c>
    </row>
    <row r="39" spans="1:3" x14ac:dyDescent="0.3">
      <c r="A39" t="s">
        <v>428</v>
      </c>
      <c r="B39" t="s">
        <v>956</v>
      </c>
      <c r="C39" t="s">
        <v>998</v>
      </c>
    </row>
    <row r="40" spans="1:3" x14ac:dyDescent="0.3">
      <c r="A40" t="s">
        <v>444</v>
      </c>
      <c r="B40" t="s">
        <v>952</v>
      </c>
      <c r="C40" t="s">
        <v>999</v>
      </c>
    </row>
    <row r="41" spans="1:3" x14ac:dyDescent="0.3">
      <c r="A41" t="s">
        <v>463</v>
      </c>
      <c r="B41" t="s">
        <v>1000</v>
      </c>
      <c r="C41" t="s">
        <v>1001</v>
      </c>
    </row>
    <row r="42" spans="1:3" x14ac:dyDescent="0.3">
      <c r="A42" t="s">
        <v>449</v>
      </c>
      <c r="B42" t="s">
        <v>953</v>
      </c>
      <c r="C42" t="s">
        <v>1002</v>
      </c>
    </row>
    <row r="43" spans="1:3" x14ac:dyDescent="0.3">
      <c r="A43" t="s">
        <v>450</v>
      </c>
      <c r="B43" t="s">
        <v>957</v>
      </c>
      <c r="C43" t="s">
        <v>1003</v>
      </c>
    </row>
    <row r="44" spans="1:3" x14ac:dyDescent="0.3">
      <c r="A44" t="s">
        <v>442</v>
      </c>
      <c r="B44" t="s">
        <v>958</v>
      </c>
      <c r="C44" t="s">
        <v>1004</v>
      </c>
    </row>
    <row r="45" spans="1:3" x14ac:dyDescent="0.3">
      <c r="A45" t="s">
        <v>470</v>
      </c>
      <c r="B45" t="s">
        <v>1005</v>
      </c>
      <c r="C45" t="s">
        <v>1006</v>
      </c>
    </row>
    <row r="46" spans="1:3" x14ac:dyDescent="0.3">
      <c r="A46" t="s">
        <v>476</v>
      </c>
      <c r="B46" t="s">
        <v>954</v>
      </c>
      <c r="C46" t="s">
        <v>1007</v>
      </c>
    </row>
    <row r="47" spans="1:3" x14ac:dyDescent="0.3">
      <c r="A47" t="s">
        <v>479</v>
      </c>
      <c r="B47" t="s">
        <v>1008</v>
      </c>
      <c r="C47" t="s">
        <v>1009</v>
      </c>
    </row>
    <row r="48" spans="1:3" x14ac:dyDescent="0.3">
      <c r="A48" t="s">
        <v>1010</v>
      </c>
      <c r="B48" t="s">
        <v>1011</v>
      </c>
      <c r="C48" t="s">
        <v>1012</v>
      </c>
    </row>
    <row r="49" spans="1:3" x14ac:dyDescent="0.3">
      <c r="A49" t="s">
        <v>1013</v>
      </c>
      <c r="B49" t="s">
        <v>951</v>
      </c>
      <c r="C49" t="s">
        <v>1014</v>
      </c>
    </row>
    <row r="50" spans="1:3" x14ac:dyDescent="0.3">
      <c r="A50" t="s">
        <v>1015</v>
      </c>
      <c r="B50" t="s">
        <v>1005</v>
      </c>
      <c r="C50" t="s">
        <v>1016</v>
      </c>
    </row>
    <row r="51" spans="1:3" x14ac:dyDescent="0.3">
      <c r="A51" t="s">
        <v>1017</v>
      </c>
      <c r="B51" t="s">
        <v>1018</v>
      </c>
      <c r="C51" t="s">
        <v>1019</v>
      </c>
    </row>
    <row r="52" spans="1:3" x14ac:dyDescent="0.3">
      <c r="A52" t="s">
        <v>1020</v>
      </c>
      <c r="B52" t="s">
        <v>933</v>
      </c>
      <c r="C52" t="s">
        <v>1021</v>
      </c>
    </row>
    <row r="53" spans="1:3" x14ac:dyDescent="0.3">
      <c r="A53" t="s">
        <v>959</v>
      </c>
      <c r="B53" t="s">
        <v>930</v>
      </c>
      <c r="C53" t="s">
        <v>1022</v>
      </c>
    </row>
    <row r="54" spans="1:3" x14ac:dyDescent="0.3">
      <c r="A54" t="s">
        <v>1023</v>
      </c>
      <c r="B54" t="s">
        <v>981</v>
      </c>
      <c r="C54" t="s">
        <v>1024</v>
      </c>
    </row>
    <row r="55" spans="1:3" x14ac:dyDescent="0.3">
      <c r="A55" t="s">
        <v>960</v>
      </c>
      <c r="B55" t="s">
        <v>1025</v>
      </c>
      <c r="C55" t="s">
        <v>1026</v>
      </c>
    </row>
    <row r="56" spans="1:3" x14ac:dyDescent="0.3">
      <c r="A56" t="s">
        <v>961</v>
      </c>
      <c r="B56" t="s">
        <v>1027</v>
      </c>
      <c r="C56" t="s">
        <v>1028</v>
      </c>
    </row>
    <row r="57" spans="1:3" x14ac:dyDescent="0.3">
      <c r="A57" t="s">
        <v>962</v>
      </c>
      <c r="B57" t="s">
        <v>1029</v>
      </c>
      <c r="C57" t="s">
        <v>1030</v>
      </c>
    </row>
    <row r="58" spans="1:3" x14ac:dyDescent="0.3">
      <c r="A58" t="s">
        <v>1031</v>
      </c>
      <c r="B58" t="s">
        <v>1032</v>
      </c>
      <c r="C58" t="s">
        <v>1033</v>
      </c>
    </row>
    <row r="59" spans="1:3" x14ac:dyDescent="0.3">
      <c r="A59" t="s">
        <v>1034</v>
      </c>
      <c r="B59" t="s">
        <v>1035</v>
      </c>
      <c r="C59" t="s">
        <v>1036</v>
      </c>
    </row>
    <row r="60" spans="1:3" x14ac:dyDescent="0.3">
      <c r="A60" t="s">
        <v>1037</v>
      </c>
      <c r="B60" t="s">
        <v>1038</v>
      </c>
      <c r="C60" t="s">
        <v>1039</v>
      </c>
    </row>
    <row r="61" spans="1:3" x14ac:dyDescent="0.3">
      <c r="A61" t="s">
        <v>1040</v>
      </c>
      <c r="B61" t="s">
        <v>1041</v>
      </c>
      <c r="C61" t="s">
        <v>1042</v>
      </c>
    </row>
    <row r="62" spans="1:3" x14ac:dyDescent="0.3">
      <c r="A62" t="s">
        <v>1043</v>
      </c>
      <c r="B62" t="s">
        <v>1044</v>
      </c>
      <c r="C62" t="s">
        <v>1045</v>
      </c>
    </row>
    <row r="63" spans="1:3" x14ac:dyDescent="0.3">
      <c r="A63" t="s">
        <v>1046</v>
      </c>
      <c r="B63" t="s">
        <v>1047</v>
      </c>
      <c r="C63" t="s">
        <v>1048</v>
      </c>
    </row>
    <row r="64" spans="1:3" x14ac:dyDescent="0.3">
      <c r="A64" t="s">
        <v>1049</v>
      </c>
      <c r="B64" t="s">
        <v>1050</v>
      </c>
      <c r="C64" t="s">
        <v>1051</v>
      </c>
    </row>
    <row r="65" spans="1:11" x14ac:dyDescent="0.3">
      <c r="A65" t="s">
        <v>1052</v>
      </c>
      <c r="B65" t="s">
        <v>1053</v>
      </c>
      <c r="C65" t="s">
        <v>1054</v>
      </c>
    </row>
    <row r="66" spans="1:11" x14ac:dyDescent="0.3">
      <c r="A66" t="s">
        <v>963</v>
      </c>
      <c r="B66" t="s">
        <v>1055</v>
      </c>
      <c r="C66" t="s">
        <v>1056</v>
      </c>
    </row>
    <row r="68" spans="1:11" ht="16.8" customHeight="1" x14ac:dyDescent="0.3">
      <c r="A68" s="60" t="s">
        <v>1057</v>
      </c>
      <c r="B68" s="60"/>
      <c r="C68" s="60"/>
      <c r="D68" s="60"/>
      <c r="E68" s="60"/>
      <c r="F68" s="60"/>
      <c r="G68" s="60"/>
      <c r="H68" s="60"/>
      <c r="I68" s="60"/>
      <c r="J68" s="60"/>
      <c r="K68" s="60"/>
    </row>
    <row r="111" spans="1:2" x14ac:dyDescent="0.3">
      <c r="A111" s="41"/>
      <c r="B111" s="51"/>
    </row>
    <row r="112" spans="1:2" x14ac:dyDescent="0.3">
      <c r="A112" s="49"/>
      <c r="B112" s="52"/>
    </row>
    <row r="113" spans="1:2" x14ac:dyDescent="0.3">
      <c r="A113" s="49"/>
      <c r="B113" s="52"/>
    </row>
    <row r="114" spans="1:2" x14ac:dyDescent="0.3">
      <c r="A114" s="49"/>
      <c r="B114" s="52"/>
    </row>
    <row r="115" spans="1:2" x14ac:dyDescent="0.3">
      <c r="A115" s="49"/>
      <c r="B115" s="52"/>
    </row>
    <row r="116" spans="1:2" x14ac:dyDescent="0.3">
      <c r="A116" s="49"/>
      <c r="B116" s="52"/>
    </row>
    <row r="117" spans="1:2" x14ac:dyDescent="0.3">
      <c r="A117" s="49"/>
      <c r="B117" s="52"/>
    </row>
    <row r="118" spans="1:2" x14ac:dyDescent="0.3">
      <c r="A118" s="49"/>
      <c r="B118" s="52"/>
    </row>
    <row r="119" spans="1:2" x14ac:dyDescent="0.3">
      <c r="A119" s="49"/>
      <c r="B119" s="52"/>
    </row>
    <row r="120" spans="1:2" x14ac:dyDescent="0.3">
      <c r="A120" s="49"/>
      <c r="B120" s="52"/>
    </row>
    <row r="121" spans="1:2" x14ac:dyDescent="0.3">
      <c r="A121" s="49"/>
      <c r="B121" s="52"/>
    </row>
    <row r="122" spans="1:2" x14ac:dyDescent="0.3">
      <c r="A122" s="49"/>
      <c r="B122" s="52"/>
    </row>
    <row r="123" spans="1:2" x14ac:dyDescent="0.3">
      <c r="A123" s="49"/>
      <c r="B123" s="52"/>
    </row>
    <row r="124" spans="1:2" x14ac:dyDescent="0.3">
      <c r="A124" s="49"/>
      <c r="B124" s="52"/>
    </row>
    <row r="125" spans="1:2" x14ac:dyDescent="0.3">
      <c r="A125" s="49"/>
      <c r="B125" s="52"/>
    </row>
    <row r="126" spans="1:2" x14ac:dyDescent="0.3">
      <c r="A126" s="49"/>
      <c r="B126" s="52"/>
    </row>
    <row r="127" spans="1:2" x14ac:dyDescent="0.3">
      <c r="A127" s="49"/>
      <c r="B127" s="52"/>
    </row>
    <row r="128" spans="1:2" x14ac:dyDescent="0.3">
      <c r="A128" s="49"/>
      <c r="B128" s="52"/>
    </row>
    <row r="129" spans="1:2" x14ac:dyDescent="0.3">
      <c r="A129" s="49"/>
      <c r="B129" s="52"/>
    </row>
    <row r="130" spans="1:2" x14ac:dyDescent="0.3">
      <c r="A130" s="49"/>
      <c r="B130" s="52"/>
    </row>
    <row r="131" spans="1:2" x14ac:dyDescent="0.3">
      <c r="A131" s="49"/>
      <c r="B131" s="52"/>
    </row>
    <row r="136" spans="1:2" x14ac:dyDescent="0.3">
      <c r="A136" s="41"/>
      <c r="B136" s="51"/>
    </row>
    <row r="137" spans="1:2" x14ac:dyDescent="0.3">
      <c r="A137" s="49"/>
      <c r="B137" s="52"/>
    </row>
    <row r="138" spans="1:2" x14ac:dyDescent="0.3">
      <c r="A138" s="49"/>
      <c r="B138" s="52"/>
    </row>
    <row r="139" spans="1:2" x14ac:dyDescent="0.3">
      <c r="A139" s="49"/>
      <c r="B139" s="52"/>
    </row>
    <row r="140" spans="1:2" x14ac:dyDescent="0.3">
      <c r="A140" s="49"/>
      <c r="B140" s="52"/>
    </row>
    <row r="141" spans="1:2" x14ac:dyDescent="0.3">
      <c r="A141" s="49"/>
      <c r="B141" s="52"/>
    </row>
    <row r="142" spans="1:2" x14ac:dyDescent="0.3">
      <c r="A142" s="49"/>
      <c r="B142" s="52"/>
    </row>
    <row r="143" spans="1:2" x14ac:dyDescent="0.3">
      <c r="A143" s="49"/>
      <c r="B143" s="52"/>
    </row>
    <row r="144" spans="1:2" x14ac:dyDescent="0.3">
      <c r="A144" s="49"/>
      <c r="B144" s="52"/>
    </row>
    <row r="145" spans="1:2" x14ac:dyDescent="0.3">
      <c r="A145" s="49"/>
      <c r="B145" s="52"/>
    </row>
    <row r="146" spans="1:2" x14ac:dyDescent="0.3">
      <c r="A146" s="49"/>
      <c r="B146" s="52"/>
    </row>
    <row r="147" spans="1:2" x14ac:dyDescent="0.3">
      <c r="A147" s="49"/>
      <c r="B147" s="52"/>
    </row>
    <row r="148" spans="1:2" x14ac:dyDescent="0.3">
      <c r="A148" s="49"/>
      <c r="B148" s="52"/>
    </row>
    <row r="149" spans="1:2" x14ac:dyDescent="0.3">
      <c r="A149" s="49"/>
      <c r="B149" s="52"/>
    </row>
    <row r="150" spans="1:2" x14ac:dyDescent="0.3">
      <c r="A150" s="49"/>
      <c r="B150" s="52"/>
    </row>
    <row r="151" spans="1:2" x14ac:dyDescent="0.3">
      <c r="A151" s="49"/>
      <c r="B151" s="52"/>
    </row>
    <row r="152" spans="1:2" x14ac:dyDescent="0.3">
      <c r="A152" s="49"/>
      <c r="B152" s="52"/>
    </row>
    <row r="153" spans="1:2" x14ac:dyDescent="0.3">
      <c r="A153" s="49"/>
      <c r="B153" s="52"/>
    </row>
    <row r="154" spans="1:2" x14ac:dyDescent="0.3">
      <c r="A154" s="49"/>
      <c r="B154" s="52"/>
    </row>
    <row r="155" spans="1:2" x14ac:dyDescent="0.3">
      <c r="A155" s="49"/>
      <c r="B155" s="52"/>
    </row>
    <row r="156" spans="1:2" x14ac:dyDescent="0.3">
      <c r="A156" s="49"/>
      <c r="B156" s="52"/>
    </row>
    <row r="157" spans="1:2" x14ac:dyDescent="0.3">
      <c r="A157" s="49"/>
      <c r="B157" s="52"/>
    </row>
    <row r="158" spans="1:2" x14ac:dyDescent="0.3">
      <c r="A158" s="49"/>
      <c r="B158" s="52"/>
    </row>
    <row r="159" spans="1:2" x14ac:dyDescent="0.3">
      <c r="A159" s="49"/>
      <c r="B159" s="52"/>
    </row>
    <row r="160" spans="1:2" x14ac:dyDescent="0.3">
      <c r="A160" s="49"/>
      <c r="B160" s="52"/>
    </row>
    <row r="161" spans="1:2" x14ac:dyDescent="0.3">
      <c r="A161" s="49"/>
      <c r="B161" s="52"/>
    </row>
    <row r="162" spans="1:2" x14ac:dyDescent="0.3">
      <c r="A162" s="49"/>
      <c r="B162" s="52"/>
    </row>
    <row r="163" spans="1:2" x14ac:dyDescent="0.3">
      <c r="A163" s="49"/>
      <c r="B163" s="52"/>
    </row>
    <row r="164" spans="1:2" x14ac:dyDescent="0.3">
      <c r="A164" s="49"/>
      <c r="B164" s="52"/>
    </row>
    <row r="165" spans="1:2" x14ac:dyDescent="0.3">
      <c r="A165" s="49"/>
      <c r="B165" s="52"/>
    </row>
    <row r="166" spans="1:2" x14ac:dyDescent="0.3">
      <c r="A166" s="49"/>
      <c r="B166" s="52"/>
    </row>
  </sheetData>
  <mergeCells count="2">
    <mergeCell ref="A68:K68"/>
    <mergeCell ref="A25:H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5"/>
  <sheetViews>
    <sheetView showGridLines="0" zoomScale="85" zoomScaleNormal="85" workbookViewId="0">
      <selection activeCell="E26" sqref="E26"/>
    </sheetView>
  </sheetViews>
  <sheetFormatPr defaultRowHeight="14.4" x14ac:dyDescent="0.3"/>
  <cols>
    <col min="1" max="1" width="13.33203125" style="5" bestFit="1" customWidth="1"/>
    <col min="2" max="2" width="39" bestFit="1" customWidth="1"/>
    <col min="3" max="3" width="12.6640625" customWidth="1"/>
    <col min="4" max="4" width="14.6640625" customWidth="1"/>
    <col min="5" max="5" width="13.33203125" customWidth="1"/>
    <col min="6" max="7" width="17.6640625" bestFit="1" customWidth="1"/>
    <col min="8" max="10" width="14.6640625" customWidth="1"/>
    <col min="11" max="11" width="17.88671875" bestFit="1" customWidth="1"/>
    <col min="12" max="13" width="14.6640625" customWidth="1"/>
    <col min="14" max="14" width="19.5546875" bestFit="1" customWidth="1"/>
    <col min="15" max="16" width="14.6640625" customWidth="1"/>
    <col min="17" max="17" width="15.5546875" bestFit="1" customWidth="1"/>
    <col min="18" max="18" width="17.6640625" bestFit="1" customWidth="1"/>
  </cols>
  <sheetData>
    <row r="1" spans="1:18" ht="18" x14ac:dyDescent="0.35">
      <c r="A1" s="33" t="s">
        <v>739</v>
      </c>
      <c r="B1" s="34"/>
      <c r="C1" s="35"/>
    </row>
    <row r="2" spans="1:18" ht="18" x14ac:dyDescent="0.35">
      <c r="A2" s="33" t="s">
        <v>740</v>
      </c>
      <c r="B2" s="34"/>
      <c r="C2" s="35"/>
    </row>
    <row r="3" spans="1:18" ht="18" x14ac:dyDescent="0.35">
      <c r="A3" s="33" t="s">
        <v>741</v>
      </c>
      <c r="B3" s="34"/>
      <c r="C3" s="35"/>
    </row>
    <row r="4" spans="1:18" ht="18" x14ac:dyDescent="0.35">
      <c r="A4" s="33" t="s">
        <v>742</v>
      </c>
      <c r="B4" s="34"/>
      <c r="C4" s="35"/>
    </row>
    <row r="6" spans="1:18" x14ac:dyDescent="0.3">
      <c r="A6" s="56" t="s">
        <v>426</v>
      </c>
      <c r="B6" s="56" t="s">
        <v>0</v>
      </c>
      <c r="C6" s="56" t="s">
        <v>1</v>
      </c>
      <c r="D6" s="56" t="s">
        <v>2</v>
      </c>
      <c r="E6" s="56" t="s">
        <v>3</v>
      </c>
      <c r="F6" s="56" t="s">
        <v>4</v>
      </c>
      <c r="G6" s="56" t="s">
        <v>5</v>
      </c>
      <c r="H6" s="56" t="s">
        <v>6</v>
      </c>
      <c r="I6" s="56" t="s">
        <v>7</v>
      </c>
      <c r="J6" s="56" t="s">
        <v>8</v>
      </c>
      <c r="K6" s="56" t="s">
        <v>9</v>
      </c>
      <c r="L6" s="56" t="s">
        <v>10</v>
      </c>
      <c r="M6" s="56" t="s">
        <v>11</v>
      </c>
      <c r="N6" s="56" t="s">
        <v>12</v>
      </c>
      <c r="O6" s="56" t="s">
        <v>13</v>
      </c>
      <c r="P6" s="56" t="s">
        <v>14</v>
      </c>
      <c r="Q6" s="56" t="s">
        <v>15</v>
      </c>
      <c r="R6" s="56" t="s">
        <v>16</v>
      </c>
    </row>
    <row r="7" spans="1:18" x14ac:dyDescent="0.3">
      <c r="A7" s="23" t="s">
        <v>486</v>
      </c>
      <c r="B7" s="24" t="s">
        <v>427</v>
      </c>
      <c r="C7" s="24">
        <v>24.008065072494407</v>
      </c>
      <c r="D7" s="24">
        <v>443.58897564267988</v>
      </c>
      <c r="E7" s="24">
        <v>103.14324004319998</v>
      </c>
      <c r="F7" s="24">
        <v>5.254068844799999</v>
      </c>
      <c r="G7" s="24">
        <f t="shared" ref="G7:G38" si="0">E7-F7</f>
        <v>97.889171198399978</v>
      </c>
      <c r="H7" s="24">
        <v>28.694835748799999</v>
      </c>
      <c r="I7" s="24">
        <v>25.966305129599998</v>
      </c>
      <c r="J7" s="24">
        <v>6.5947356143999993</v>
      </c>
      <c r="K7" s="24">
        <v>19.534800000000001</v>
      </c>
      <c r="L7" s="24">
        <f t="shared" ref="L7:L38" si="1">IF(K7=0, "", J7/K7)</f>
        <v>0.33758910326187108</v>
      </c>
      <c r="M7" s="24">
        <v>125.56005505919998</v>
      </c>
      <c r="N7" s="24">
        <v>16.950390556954584</v>
      </c>
      <c r="O7" s="24">
        <v>432.37370846879998</v>
      </c>
      <c r="P7" s="24">
        <f t="shared" ref="P7:P38" si="2">I7</f>
        <v>25.966305129599998</v>
      </c>
      <c r="Q7" s="24">
        <v>-20.602739059200001</v>
      </c>
      <c r="R7" s="23">
        <f>J7/K7</f>
        <v>0.33758910326187108</v>
      </c>
    </row>
    <row r="8" spans="1:18" x14ac:dyDescent="0.3">
      <c r="A8" s="23" t="s">
        <v>487</v>
      </c>
      <c r="B8" s="24" t="s">
        <v>428</v>
      </c>
      <c r="C8" s="24">
        <v>634.21305233172723</v>
      </c>
      <c r="D8" s="24">
        <v>395.47115933807657</v>
      </c>
      <c r="E8" s="24">
        <v>86.270778388799997</v>
      </c>
      <c r="F8" s="24">
        <v>6.3035521055999997</v>
      </c>
      <c r="G8" s="24">
        <f t="shared" si="0"/>
        <v>79.967226283199992</v>
      </c>
      <c r="H8" s="24">
        <v>116.62191699839998</v>
      </c>
      <c r="I8" s="24">
        <v>96.484586097600001</v>
      </c>
      <c r="J8" s="24">
        <v>55.480482187199996</v>
      </c>
      <c r="K8" s="24">
        <v>0.62716300000000003</v>
      </c>
      <c r="L8" s="24">
        <f t="shared" si="1"/>
        <v>88.462620064002493</v>
      </c>
      <c r="M8" s="24">
        <v>131.54967915839998</v>
      </c>
      <c r="N8" s="24">
        <v>436.45881721654069</v>
      </c>
      <c r="O8" s="24">
        <v>8813.4165854783987</v>
      </c>
      <c r="P8" s="24">
        <f t="shared" si="2"/>
        <v>96.484586097600001</v>
      </c>
      <c r="Q8" s="24">
        <v>-8.1463958063999993</v>
      </c>
      <c r="R8" s="23">
        <f>J8/K8</f>
        <v>88.462620064002493</v>
      </c>
    </row>
    <row r="9" spans="1:18" x14ac:dyDescent="0.3">
      <c r="A9" s="23" t="s">
        <v>488</v>
      </c>
      <c r="B9" s="24" t="s">
        <v>429</v>
      </c>
      <c r="C9" s="24">
        <v>19.27</v>
      </c>
      <c r="D9" s="24">
        <v>174.58619999999999</v>
      </c>
      <c r="E9" s="24">
        <v>484.487915112</v>
      </c>
      <c r="F9" s="24">
        <v>0.10203559199999999</v>
      </c>
      <c r="G9" s="24">
        <f t="shared" si="0"/>
        <v>484.38587952</v>
      </c>
      <c r="H9" s="24">
        <v>-4.0399801487999998</v>
      </c>
      <c r="I9" s="24">
        <v>-4.0353053903999996</v>
      </c>
      <c r="J9" s="24">
        <v>-4.0362942816</v>
      </c>
      <c r="K9" s="24">
        <v>8.8800000000000008</v>
      </c>
      <c r="L9" s="24">
        <f t="shared" si="1"/>
        <v>-0.45453764432432431</v>
      </c>
      <c r="M9" s="24">
        <v>-584.31468376800001</v>
      </c>
      <c r="N9" s="24">
        <v>-53.785222430612457</v>
      </c>
      <c r="O9" s="24">
        <v>0.01</v>
      </c>
      <c r="P9" s="24">
        <f t="shared" si="2"/>
        <v>-4.0353053903999996</v>
      </c>
      <c r="Q9" s="24">
        <v>-1.0787904E-3</v>
      </c>
      <c r="R9" s="23">
        <f t="shared" ref="R9:R16" si="3">J9/K9</f>
        <v>-0.45453764432432431</v>
      </c>
    </row>
    <row r="10" spans="1:18" x14ac:dyDescent="0.3">
      <c r="A10" s="23" t="s">
        <v>489</v>
      </c>
      <c r="B10" s="24" t="s">
        <v>430</v>
      </c>
      <c r="C10" s="24">
        <v>93.999999999999986</v>
      </c>
      <c r="D10" s="24">
        <v>386.55582399999997</v>
      </c>
      <c r="E10" s="24">
        <v>0</v>
      </c>
      <c r="F10" s="24">
        <v>0.14168113919999997</v>
      </c>
      <c r="G10" s="24">
        <f t="shared" si="0"/>
        <v>-0.14168113919999997</v>
      </c>
      <c r="H10" s="24">
        <v>0.1</v>
      </c>
      <c r="I10" s="24">
        <v>-4.0344962975999996</v>
      </c>
      <c r="J10" s="24">
        <v>-2.7968540111999998</v>
      </c>
      <c r="K10" s="24">
        <v>4.027272</v>
      </c>
      <c r="L10" s="24">
        <f t="shared" si="1"/>
        <v>-0.6944785480593314</v>
      </c>
      <c r="M10" s="24">
        <v>89.459503012799999</v>
      </c>
      <c r="N10" s="24">
        <v>32.546819554380853</v>
      </c>
      <c r="O10" s="24">
        <v>0.14168113919999997</v>
      </c>
      <c r="P10" s="24">
        <f t="shared" si="2"/>
        <v>-4.0344962975999996</v>
      </c>
      <c r="Q10" s="24">
        <v>-0.1085982336</v>
      </c>
      <c r="R10" s="23">
        <f t="shared" si="3"/>
        <v>-0.6944785480593314</v>
      </c>
    </row>
    <row r="11" spans="1:18" x14ac:dyDescent="0.3">
      <c r="A11" s="23" t="s">
        <v>490</v>
      </c>
      <c r="B11" s="24" t="s">
        <v>431</v>
      </c>
      <c r="C11" s="24">
        <v>41.208775669825997</v>
      </c>
      <c r="D11" s="24">
        <v>163.46153138103273</v>
      </c>
      <c r="E11" s="24">
        <v>11.7585456624</v>
      </c>
      <c r="F11" s="24">
        <v>4.2072825599999995E-2</v>
      </c>
      <c r="G11" s="24">
        <f t="shared" si="0"/>
        <v>11.7164728368</v>
      </c>
      <c r="H11" s="24">
        <v>-6.91999092</v>
      </c>
      <c r="I11" s="24">
        <v>-7.0665266159999991</v>
      </c>
      <c r="J11" s="24">
        <v>-7.062211454399999</v>
      </c>
      <c r="K11" s="24">
        <v>3.7909090000000001</v>
      </c>
      <c r="L11" s="24">
        <f t="shared" si="1"/>
        <v>-1.8629335218545207</v>
      </c>
      <c r="M11" s="24">
        <v>0.28048550399999994</v>
      </c>
      <c r="N11" s="24">
        <v>10.934543513692969</v>
      </c>
      <c r="O11" s="24">
        <v>0.01</v>
      </c>
      <c r="P11" s="24">
        <f t="shared" si="2"/>
        <v>-7.0665266159999991</v>
      </c>
      <c r="Q11" s="24">
        <v>-1.0787904E-3</v>
      </c>
      <c r="R11" s="23">
        <f t="shared" si="3"/>
        <v>-1.8629335218545207</v>
      </c>
    </row>
    <row r="12" spans="1:18" x14ac:dyDescent="0.3">
      <c r="A12" s="23" t="s">
        <v>491</v>
      </c>
      <c r="B12" s="24" t="s">
        <v>432</v>
      </c>
      <c r="C12" s="24">
        <v>46</v>
      </c>
      <c r="D12" s="24">
        <v>610.27114400000005</v>
      </c>
      <c r="E12" s="24">
        <v>665.54067864959995</v>
      </c>
      <c r="F12" s="24">
        <v>242.57968611839999</v>
      </c>
      <c r="G12" s="24">
        <f t="shared" si="0"/>
        <v>422.96099253119996</v>
      </c>
      <c r="H12" s="24">
        <v>64.113322564800001</v>
      </c>
      <c r="I12" s="24">
        <v>5.1121180079999995</v>
      </c>
      <c r="J12" s="24">
        <v>17.709333307200001</v>
      </c>
      <c r="K12" s="24">
        <v>13.031817999999999</v>
      </c>
      <c r="L12" s="24">
        <f t="shared" si="1"/>
        <v>1.3589303738895067</v>
      </c>
      <c r="M12" s="24">
        <v>850.68978913439992</v>
      </c>
      <c r="N12" s="24">
        <v>148.06713252120343</v>
      </c>
      <c r="O12" s="24">
        <v>187.05919878719996</v>
      </c>
      <c r="P12" s="24">
        <f t="shared" si="2"/>
        <v>5.1121180079999995</v>
      </c>
      <c r="Q12" s="24">
        <v>-20.384014305599997</v>
      </c>
      <c r="R12" s="23">
        <f t="shared" si="3"/>
        <v>1.3589303738895067</v>
      </c>
    </row>
    <row r="13" spans="1:18" x14ac:dyDescent="0.3">
      <c r="A13" s="23" t="s">
        <v>492</v>
      </c>
      <c r="B13" s="24" t="s">
        <v>433</v>
      </c>
      <c r="C13" s="24">
        <v>55.28</v>
      </c>
      <c r="D13" s="24">
        <v>636.87164800000005</v>
      </c>
      <c r="E13" s="24">
        <v>17.591115859199999</v>
      </c>
      <c r="F13" s="24">
        <v>2.7981125999999996</v>
      </c>
      <c r="G13" s="24">
        <f t="shared" si="0"/>
        <v>14.793003259199999</v>
      </c>
      <c r="H13" s="24">
        <v>-0.25504403040000001</v>
      </c>
      <c r="I13" s="24">
        <v>-18.481657334399998</v>
      </c>
      <c r="J13" s="24">
        <v>5.6640091968000004</v>
      </c>
      <c r="K13" s="24">
        <v>11.512086999999999</v>
      </c>
      <c r="L13" s="24">
        <f t="shared" si="1"/>
        <v>0.49200541976446155</v>
      </c>
      <c r="M13" s="24">
        <v>305.40565213919996</v>
      </c>
      <c r="N13" s="24">
        <v>36.580923642300661</v>
      </c>
      <c r="O13" s="24">
        <v>96.835732372799995</v>
      </c>
      <c r="P13" s="24">
        <f t="shared" si="2"/>
        <v>-18.481657334399998</v>
      </c>
      <c r="Q13" s="24">
        <v>-1.7335262735999999</v>
      </c>
      <c r="R13" s="23">
        <f t="shared" si="3"/>
        <v>0.49200541976446155</v>
      </c>
    </row>
    <row r="14" spans="1:18" x14ac:dyDescent="0.3">
      <c r="A14" s="23" t="s">
        <v>493</v>
      </c>
      <c r="B14" s="24" t="s">
        <v>434</v>
      </c>
      <c r="C14" s="24">
        <v>20.12</v>
      </c>
      <c r="D14" s="24">
        <v>955.70000000000016</v>
      </c>
      <c r="E14" s="24">
        <v>1449.7719447888001</v>
      </c>
      <c r="F14" s="24">
        <v>211.72412309759997</v>
      </c>
      <c r="G14" s="24">
        <f t="shared" si="0"/>
        <v>1238.0478216912002</v>
      </c>
      <c r="H14" s="24">
        <v>229.4073856368</v>
      </c>
      <c r="I14" s="24">
        <v>129.2614748208</v>
      </c>
      <c r="J14" s="24">
        <v>-922.33819294559987</v>
      </c>
      <c r="K14" s="24">
        <v>47.599099000000002</v>
      </c>
      <c r="L14" s="24">
        <f t="shared" si="1"/>
        <v>-19.37721957605962</v>
      </c>
      <c r="M14" s="24">
        <v>-1260.1267955136</v>
      </c>
      <c r="N14" s="24">
        <v>3.4351208336667209</v>
      </c>
      <c r="O14" s="24">
        <v>423.43512091199995</v>
      </c>
      <c r="P14" s="24">
        <f t="shared" si="2"/>
        <v>129.2614748208</v>
      </c>
      <c r="Q14" s="24">
        <v>-95.006103854399996</v>
      </c>
      <c r="R14" s="23">
        <f t="shared" si="3"/>
        <v>-19.37721957605962</v>
      </c>
    </row>
    <row r="15" spans="1:18" x14ac:dyDescent="0.3">
      <c r="A15" s="23" t="s">
        <v>494</v>
      </c>
      <c r="B15" s="24" t="s">
        <v>435</v>
      </c>
      <c r="C15" s="24">
        <v>14.57</v>
      </c>
      <c r="D15" s="24">
        <v>1897.8845140000001</v>
      </c>
      <c r="E15" s="24">
        <v>182.42444553119998</v>
      </c>
      <c r="F15" s="24">
        <v>10.8453495888</v>
      </c>
      <c r="G15" s="24">
        <f t="shared" si="0"/>
        <v>171.57909594239999</v>
      </c>
      <c r="H15" s="24">
        <v>159.79474920960001</v>
      </c>
      <c r="I15" s="24">
        <v>80.179658092799997</v>
      </c>
      <c r="J15" s="24">
        <v>20.044195329599997</v>
      </c>
      <c r="K15" s="24">
        <v>128.20540500000001</v>
      </c>
      <c r="L15" s="24">
        <f t="shared" si="1"/>
        <v>0.15634438602335055</v>
      </c>
      <c r="M15" s="24">
        <v>-102.78643011839999</v>
      </c>
      <c r="N15" s="24">
        <v>22.570634932422287</v>
      </c>
      <c r="O15" s="24">
        <v>399.22670473919999</v>
      </c>
      <c r="P15" s="24">
        <f t="shared" si="2"/>
        <v>80.179658092799997</v>
      </c>
      <c r="Q15" s="24">
        <v>-35.708501635199994</v>
      </c>
      <c r="R15" s="23">
        <f t="shared" si="3"/>
        <v>0.15634438602335055</v>
      </c>
    </row>
    <row r="16" spans="1:18" x14ac:dyDescent="0.3">
      <c r="A16" s="23" t="s">
        <v>495</v>
      </c>
      <c r="B16" s="24" t="s">
        <v>436</v>
      </c>
      <c r="C16" s="24">
        <v>100.95</v>
      </c>
      <c r="D16" s="24">
        <v>2790.630909</v>
      </c>
      <c r="E16" s="24">
        <v>8.1028845935999989</v>
      </c>
      <c r="F16" s="24">
        <v>1182.7221459263999</v>
      </c>
      <c r="G16" s="24">
        <f t="shared" si="0"/>
        <v>-1174.6192613327999</v>
      </c>
      <c r="H16" s="24">
        <v>-71.329980844799991</v>
      </c>
      <c r="I16" s="24">
        <v>-281.36211109919998</v>
      </c>
      <c r="J16" s="24">
        <v>-91.5705160272</v>
      </c>
      <c r="K16" s="24">
        <v>16.243608999999999</v>
      </c>
      <c r="L16" s="24">
        <f t="shared" si="1"/>
        <v>-5.6373257954682368</v>
      </c>
      <c r="M16" s="24">
        <v>3662.6252002271995</v>
      </c>
      <c r="N16" s="24">
        <v>239.73105360112118</v>
      </c>
      <c r="O16" s="24">
        <v>1366.5330169199999</v>
      </c>
      <c r="P16" s="24">
        <f t="shared" si="2"/>
        <v>-281.36211109919998</v>
      </c>
      <c r="Q16" s="24">
        <v>-1.873049832</v>
      </c>
      <c r="R16" s="23">
        <f t="shared" si="3"/>
        <v>-5.6373257954682368</v>
      </c>
    </row>
    <row r="17" spans="1:18" x14ac:dyDescent="0.3">
      <c r="A17" s="23" t="s">
        <v>496</v>
      </c>
      <c r="B17" s="24" t="s">
        <v>437</v>
      </c>
      <c r="C17" s="24">
        <v>10.75</v>
      </c>
      <c r="D17" s="24">
        <v>2898.0017699999999</v>
      </c>
      <c r="E17" s="24">
        <v>1917.3726547775998</v>
      </c>
      <c r="F17" s="24">
        <v>881.07598843199992</v>
      </c>
      <c r="G17" s="24">
        <f t="shared" si="0"/>
        <v>1036.2966663456</v>
      </c>
      <c r="H17" s="24">
        <v>678.28254176159987</v>
      </c>
      <c r="I17" s="24">
        <v>582.5255098895999</v>
      </c>
      <c r="J17" s="24">
        <v>352.9885795056</v>
      </c>
      <c r="K17" s="24">
        <v>272.64347800000002</v>
      </c>
      <c r="L17" s="24">
        <f t="shared" si="1"/>
        <v>1.2946892480061452</v>
      </c>
      <c r="M17" s="24">
        <v>1458.0864520992</v>
      </c>
      <c r="N17" s="24">
        <v>8.6330717208863579</v>
      </c>
      <c r="O17" s="24">
        <v>6577.2449159471998</v>
      </c>
      <c r="P17" s="24">
        <f t="shared" si="2"/>
        <v>582.5255098895999</v>
      </c>
      <c r="Q17" s="24">
        <v>-203.03428662719998</v>
      </c>
      <c r="R17" s="23">
        <f>J17/K17</f>
        <v>1.2946892480061452</v>
      </c>
    </row>
    <row r="18" spans="1:18" x14ac:dyDescent="0.3">
      <c r="A18" s="23" t="s">
        <v>497</v>
      </c>
      <c r="B18" s="24" t="s">
        <v>438</v>
      </c>
      <c r="C18" s="24">
        <v>10.33</v>
      </c>
      <c r="D18" s="24">
        <v>10059.246981</v>
      </c>
      <c r="E18" s="24">
        <v>1640.0129459615998</v>
      </c>
      <c r="F18" s="24">
        <v>44.307629812799995</v>
      </c>
      <c r="G18" s="24">
        <f t="shared" si="0"/>
        <v>1595.7053161487997</v>
      </c>
      <c r="H18" s="24">
        <v>25.031353449600001</v>
      </c>
      <c r="I18" s="24">
        <v>-369.99346268159996</v>
      </c>
      <c r="J18" s="24">
        <v>73.208424628799989</v>
      </c>
      <c r="K18" s="24">
        <v>973.78963999999996</v>
      </c>
      <c r="L18" s="24">
        <f t="shared" si="1"/>
        <v>7.5178890410869434E-2</v>
      </c>
      <c r="M18" s="24">
        <v>10362.723755817598</v>
      </c>
      <c r="N18" s="24">
        <v>9.507614279129271</v>
      </c>
      <c r="O18" s="24">
        <v>6421.7705424911992</v>
      </c>
      <c r="P18" s="24">
        <f t="shared" si="2"/>
        <v>-369.99346268159996</v>
      </c>
      <c r="Q18" s="24">
        <v>-249.05503559519997</v>
      </c>
      <c r="R18" s="23">
        <f>J18/K18</f>
        <v>7.5178890410869434E-2</v>
      </c>
    </row>
    <row r="19" spans="1:18" x14ac:dyDescent="0.3">
      <c r="A19" s="23" t="s">
        <v>498</v>
      </c>
      <c r="B19" s="24" t="s">
        <v>439</v>
      </c>
      <c r="C19" s="24">
        <v>10.86</v>
      </c>
      <c r="D19" s="24">
        <v>12919.135984</v>
      </c>
      <c r="E19" s="24">
        <v>19816.572443083198</v>
      </c>
      <c r="F19" s="24">
        <v>3127.6062932831996</v>
      </c>
      <c r="G19" s="24">
        <f t="shared" si="0"/>
        <v>16688.966149799999</v>
      </c>
      <c r="H19" s="24">
        <v>398.211652872</v>
      </c>
      <c r="I19" s="24">
        <v>289.52567765279997</v>
      </c>
      <c r="J19" s="24">
        <v>448.70920220159996</v>
      </c>
      <c r="K19" s="24">
        <v>1189.718482</v>
      </c>
      <c r="L19" s="24">
        <f t="shared" si="1"/>
        <v>0.37715578011975437</v>
      </c>
      <c r="M19" s="24">
        <v>-23180.648693054398</v>
      </c>
      <c r="N19" s="24">
        <v>4.3215552505743755</v>
      </c>
      <c r="O19" s="24">
        <v>6160.8966388703993</v>
      </c>
      <c r="P19" s="24">
        <f t="shared" si="2"/>
        <v>289.52567765279997</v>
      </c>
      <c r="Q19" s="24">
        <v>-1.3155848927999998</v>
      </c>
      <c r="R19" s="23">
        <f>J19/K19</f>
        <v>0.37715578011975437</v>
      </c>
    </row>
    <row r="20" spans="1:18" x14ac:dyDescent="0.3">
      <c r="A20" s="23" t="s">
        <v>499</v>
      </c>
      <c r="B20" s="24" t="s">
        <v>440</v>
      </c>
      <c r="C20" s="24">
        <v>106.15</v>
      </c>
      <c r="D20" s="24">
        <v>13526.332528999998</v>
      </c>
      <c r="E20" s="24">
        <v>342.82250827199994</v>
      </c>
      <c r="F20" s="24">
        <v>18.046725004799999</v>
      </c>
      <c r="G20" s="24">
        <f t="shared" si="0"/>
        <v>324.77578326719993</v>
      </c>
      <c r="H20" s="24">
        <v>-21.776283215999999</v>
      </c>
      <c r="I20" s="24">
        <v>-49.490678289599998</v>
      </c>
      <c r="J20" s="24">
        <v>58.192291555199994</v>
      </c>
      <c r="K20" s="24">
        <v>120.8</v>
      </c>
      <c r="L20" s="24">
        <f t="shared" si="1"/>
        <v>0.48172426784105954</v>
      </c>
      <c r="M20" s="24">
        <v>4693.4770316255999</v>
      </c>
      <c r="N20" s="24">
        <v>127.69952521733582</v>
      </c>
      <c r="O20" s="24">
        <v>25.52</v>
      </c>
      <c r="P20" s="24">
        <f t="shared" si="2"/>
        <v>-49.490678289599998</v>
      </c>
      <c r="Q20" s="24">
        <v>-27.195856487999997</v>
      </c>
      <c r="R20" s="23">
        <f t="shared" ref="R20:R65" si="4">J20/K20</f>
        <v>0.48172426784105954</v>
      </c>
    </row>
    <row r="21" spans="1:18" x14ac:dyDescent="0.3">
      <c r="A21" s="23" t="s">
        <v>500</v>
      </c>
      <c r="B21" s="24" t="s">
        <v>441</v>
      </c>
      <c r="C21" s="24">
        <v>11.72</v>
      </c>
      <c r="D21" s="24">
        <v>13747.931161</v>
      </c>
      <c r="E21" s="24">
        <v>5791.5725656320001</v>
      </c>
      <c r="F21" s="24">
        <v>309.79372199039994</v>
      </c>
      <c r="G21" s="24">
        <f t="shared" si="0"/>
        <v>5481.7788436416004</v>
      </c>
      <c r="H21" s="24">
        <v>1939.6912998671999</v>
      </c>
      <c r="I21" s="24">
        <v>1097.1143741376</v>
      </c>
      <c r="J21" s="24">
        <v>583.47772221599996</v>
      </c>
      <c r="K21" s="24">
        <v>1156</v>
      </c>
      <c r="L21" s="24">
        <f t="shared" si="1"/>
        <v>0.50473851402768166</v>
      </c>
      <c r="M21" s="24">
        <v>-11437.847796743999</v>
      </c>
      <c r="N21" s="24">
        <v>9.6144782048731336</v>
      </c>
      <c r="O21" s="24">
        <v>3022.8846030863997</v>
      </c>
      <c r="P21" s="24">
        <f t="shared" si="2"/>
        <v>1097.1143741376</v>
      </c>
      <c r="Q21" s="24">
        <v>-714.56100432479991</v>
      </c>
      <c r="R21" s="23">
        <f t="shared" si="4"/>
        <v>0.50473851402768166</v>
      </c>
    </row>
    <row r="22" spans="1:18" x14ac:dyDescent="0.3">
      <c r="A22" s="23" t="s">
        <v>501</v>
      </c>
      <c r="B22" s="24" t="s">
        <v>442</v>
      </c>
      <c r="C22" s="24">
        <v>145.84</v>
      </c>
      <c r="D22" s="24">
        <v>22636.693273000001</v>
      </c>
      <c r="E22" s="24">
        <v>28363.962372494396</v>
      </c>
      <c r="F22" s="24">
        <v>2398.4274992399996</v>
      </c>
      <c r="G22" s="24">
        <f t="shared" si="0"/>
        <v>25965.534873254397</v>
      </c>
      <c r="H22" s="24">
        <v>4300.0983597455997</v>
      </c>
      <c r="I22" s="24">
        <v>2369.0286628559998</v>
      </c>
      <c r="J22" s="24">
        <v>1899.3888592127998</v>
      </c>
      <c r="K22" s="24">
        <v>155.44306499999999</v>
      </c>
      <c r="L22" s="24">
        <f t="shared" si="1"/>
        <v>12.219193305361033</v>
      </c>
      <c r="M22" s="24">
        <v>29889.043506417598</v>
      </c>
      <c r="N22" s="24">
        <v>230.20410034800949</v>
      </c>
      <c r="O22" s="24">
        <v>13693.552045257598</v>
      </c>
      <c r="P22" s="24">
        <f t="shared" si="2"/>
        <v>2369.0286628559998</v>
      </c>
      <c r="Q22" s="24">
        <v>-402.55207614720001</v>
      </c>
      <c r="R22" s="23">
        <f t="shared" si="4"/>
        <v>12.219193305361033</v>
      </c>
    </row>
    <row r="23" spans="1:18" x14ac:dyDescent="0.3">
      <c r="A23" s="23" t="s">
        <v>502</v>
      </c>
      <c r="B23" s="24" t="s">
        <v>443</v>
      </c>
      <c r="C23" s="24">
        <v>332</v>
      </c>
      <c r="D23" s="24">
        <v>38858.317168000001</v>
      </c>
      <c r="E23" s="24">
        <v>7596.9954547343996</v>
      </c>
      <c r="F23" s="24">
        <v>12046.5965436768</v>
      </c>
      <c r="G23" s="24">
        <f t="shared" si="0"/>
        <v>-4449.6010889424006</v>
      </c>
      <c r="H23" s="24">
        <v>1084.8040271855998</v>
      </c>
      <c r="I23" s="24">
        <v>1062.9164487599999</v>
      </c>
      <c r="J23" s="24">
        <v>1088.3818355471999</v>
      </c>
      <c r="K23" s="24">
        <v>112.338983</v>
      </c>
      <c r="L23" s="24">
        <f t="shared" si="1"/>
        <v>9.6883718054239463</v>
      </c>
      <c r="M23" s="24">
        <v>717.79018358880001</v>
      </c>
      <c r="N23" s="24">
        <v>113.16838401925266</v>
      </c>
      <c r="O23" s="24">
        <v>61623.792205171194</v>
      </c>
      <c r="P23" s="24">
        <f t="shared" si="2"/>
        <v>1062.9164487599999</v>
      </c>
      <c r="Q23" s="24">
        <v>-461.84931876959996</v>
      </c>
      <c r="R23" s="23">
        <f t="shared" si="4"/>
        <v>9.6883718054239463</v>
      </c>
    </row>
    <row r="24" spans="1:18" x14ac:dyDescent="0.3">
      <c r="A24" s="23" t="s">
        <v>503</v>
      </c>
      <c r="B24" s="24" t="s">
        <v>444</v>
      </c>
      <c r="C24" s="24">
        <v>199.73709804270655</v>
      </c>
      <c r="D24" s="24">
        <v>43219.320356046141</v>
      </c>
      <c r="E24" s="24">
        <v>1526.5422656207998</v>
      </c>
      <c r="F24" s="24">
        <v>1417.3705650239999</v>
      </c>
      <c r="G24" s="24">
        <f t="shared" si="0"/>
        <v>109.17170059679984</v>
      </c>
      <c r="H24" s="24">
        <v>3798.9294682751997</v>
      </c>
      <c r="I24" s="24">
        <v>3753.3906689184</v>
      </c>
      <c r="J24" s="24">
        <v>2485.8428742431997</v>
      </c>
      <c r="K24" s="24">
        <v>178.49025</v>
      </c>
      <c r="L24" s="24">
        <f t="shared" si="1"/>
        <v>13.927051333298035</v>
      </c>
      <c r="M24" s="24">
        <v>8209.6587724319998</v>
      </c>
      <c r="N24" s="24">
        <v>73.058521721987276</v>
      </c>
      <c r="O24" s="24">
        <v>21767.071065177595</v>
      </c>
      <c r="P24" s="24">
        <f t="shared" si="2"/>
        <v>3753.3906689184</v>
      </c>
      <c r="Q24" s="24">
        <v>-328.88138983199997</v>
      </c>
      <c r="R24" s="23">
        <f t="shared" si="4"/>
        <v>13.927051333298035</v>
      </c>
    </row>
    <row r="25" spans="1:18" x14ac:dyDescent="0.3">
      <c r="A25" s="23" t="s">
        <v>504</v>
      </c>
      <c r="B25" s="24" t="s">
        <v>445</v>
      </c>
      <c r="C25" s="24">
        <v>155</v>
      </c>
      <c r="D25" s="24">
        <v>45881.289754999998</v>
      </c>
      <c r="E25" s="24">
        <v>31065.996191385599</v>
      </c>
      <c r="F25" s="24">
        <v>17992.235930990399</v>
      </c>
      <c r="G25" s="24">
        <f t="shared" si="0"/>
        <v>13073.7602603952</v>
      </c>
      <c r="H25" s="24">
        <v>12775.688135495999</v>
      </c>
      <c r="I25" s="24">
        <v>12739.823748647999</v>
      </c>
      <c r="J25" s="24">
        <v>9662.4085383216006</v>
      </c>
      <c r="K25" s="24">
        <v>295.97875499999998</v>
      </c>
      <c r="L25" s="24">
        <f t="shared" si="1"/>
        <v>32.645615183838451</v>
      </c>
      <c r="M25" s="24">
        <v>42858.755781220796</v>
      </c>
      <c r="N25" s="24">
        <v>205.65710676128001</v>
      </c>
      <c r="O25" s="24">
        <v>164643.07896171359</v>
      </c>
      <c r="P25" s="24">
        <f t="shared" si="2"/>
        <v>12739.823748647999</v>
      </c>
      <c r="Q25" s="24">
        <v>-2806.6496977296001</v>
      </c>
      <c r="R25" s="23">
        <f t="shared" si="4"/>
        <v>32.645615183838451</v>
      </c>
    </row>
    <row r="26" spans="1:18" x14ac:dyDescent="0.3">
      <c r="A26" s="23" t="s">
        <v>505</v>
      </c>
      <c r="B26" s="24" t="s">
        <v>446</v>
      </c>
      <c r="C26" s="24">
        <v>9.57</v>
      </c>
      <c r="D26" s="24">
        <v>51391.913079999991</v>
      </c>
      <c r="E26" s="24">
        <v>36384.134218243198</v>
      </c>
      <c r="F26" s="24">
        <v>1305.6423109775999</v>
      </c>
      <c r="G26" s="24">
        <f t="shared" si="0"/>
        <v>35078.491907265598</v>
      </c>
      <c r="H26" s="24">
        <v>7394.8427196623988</v>
      </c>
      <c r="I26" s="24">
        <v>3647.7472422239994</v>
      </c>
      <c r="J26" s="24">
        <v>113065.84149870239</v>
      </c>
      <c r="K26" s="24">
        <v>5332.2222220000003</v>
      </c>
      <c r="L26" s="24">
        <f t="shared" si="1"/>
        <v>21.204262836647843</v>
      </c>
      <c r="M26" s="24">
        <v>-33654.005910460794</v>
      </c>
      <c r="N26" s="24">
        <v>8.6809813944721679</v>
      </c>
      <c r="O26" s="24">
        <v>34266.648641241598</v>
      </c>
      <c r="P26" s="24">
        <f t="shared" si="2"/>
        <v>3647.7472422239994</v>
      </c>
      <c r="Q26" s="24">
        <v>-5719.5070295327996</v>
      </c>
      <c r="R26" s="23">
        <f t="shared" si="4"/>
        <v>21.204262836647843</v>
      </c>
    </row>
    <row r="27" spans="1:18" x14ac:dyDescent="0.3">
      <c r="A27" s="23" t="s">
        <v>506</v>
      </c>
      <c r="B27" s="24" t="s">
        <v>447</v>
      </c>
      <c r="C27" s="24">
        <v>129.29</v>
      </c>
      <c r="D27" s="24">
        <v>52773.746571999996</v>
      </c>
      <c r="E27" s="24">
        <v>66705.854033836789</v>
      </c>
      <c r="F27" s="24">
        <v>25203.252047299196</v>
      </c>
      <c r="G27" s="24">
        <f t="shared" si="0"/>
        <v>41502.601986537593</v>
      </c>
      <c r="H27" s="24">
        <v>47182.367186827192</v>
      </c>
      <c r="I27" s="24">
        <v>32758.333438420799</v>
      </c>
      <c r="J27" s="24">
        <v>54856.767201249597</v>
      </c>
      <c r="K27" s="24">
        <v>272</v>
      </c>
      <c r="L27" s="24">
        <f t="shared" si="1"/>
        <v>201.67929118106468</v>
      </c>
      <c r="M27" s="24">
        <v>-33852.220071681601</v>
      </c>
      <c r="N27" s="24">
        <v>382.44072099435414</v>
      </c>
      <c r="O27" s="24">
        <v>233924.56161700317</v>
      </c>
      <c r="P27" s="24">
        <f t="shared" si="2"/>
        <v>32758.333438420799</v>
      </c>
      <c r="Q27" s="24">
        <v>-14997.287054807999</v>
      </c>
      <c r="R27" s="23">
        <f t="shared" si="4"/>
        <v>201.67929118106468</v>
      </c>
    </row>
    <row r="28" spans="1:18" x14ac:dyDescent="0.3">
      <c r="A28" s="23" t="s">
        <v>507</v>
      </c>
      <c r="B28" s="24" t="s">
        <v>448</v>
      </c>
      <c r="C28" s="24">
        <v>18.29</v>
      </c>
      <c r="D28" s="24">
        <v>125349.761946</v>
      </c>
      <c r="E28" s="24">
        <v>39621.22317345599</v>
      </c>
      <c r="F28" s="24">
        <v>9392.0940500111992</v>
      </c>
      <c r="G28" s="24">
        <f t="shared" si="0"/>
        <v>30229.129123444793</v>
      </c>
      <c r="H28" s="24">
        <v>17817.648088622398</v>
      </c>
      <c r="I28" s="24">
        <v>12904.359511967998</v>
      </c>
      <c r="J28" s="24">
        <v>7793.0565301151992</v>
      </c>
      <c r="K28" s="24">
        <v>8971.9354829999993</v>
      </c>
      <c r="L28" s="24">
        <f t="shared" si="1"/>
        <v>0.86860371932917513</v>
      </c>
      <c r="M28" s="24">
        <v>-15312.899502518398</v>
      </c>
      <c r="N28" s="24">
        <v>12.968848239569235</v>
      </c>
      <c r="O28" s="24">
        <v>55481.247768787194</v>
      </c>
      <c r="P28" s="24">
        <f t="shared" si="2"/>
        <v>12904.359511967998</v>
      </c>
      <c r="Q28" s="24">
        <v>-4041.0343967183994</v>
      </c>
      <c r="R28" s="23">
        <f t="shared" si="4"/>
        <v>0.86860371932917513</v>
      </c>
    </row>
    <row r="29" spans="1:18" x14ac:dyDescent="0.3">
      <c r="A29" s="23" t="s">
        <v>508</v>
      </c>
      <c r="B29" s="24" t="s">
        <v>449</v>
      </c>
      <c r="C29" s="24">
        <v>450.30127051597321</v>
      </c>
      <c r="D29" s="24">
        <v>142216.14557065265</v>
      </c>
      <c r="E29" s="24">
        <v>31126.264075670399</v>
      </c>
      <c r="F29" s="24">
        <v>1439.0831996063998</v>
      </c>
      <c r="G29" s="24">
        <f t="shared" si="0"/>
        <v>29687.180876063998</v>
      </c>
      <c r="H29" s="24">
        <v>-5109.6817396799997</v>
      </c>
      <c r="I29" s="24">
        <v>-6767.9267827967997</v>
      </c>
      <c r="J29" s="24">
        <v>6664.1947928927993</v>
      </c>
      <c r="K29" s="24">
        <v>227.75119000000001</v>
      </c>
      <c r="L29" s="24">
        <f t="shared" si="1"/>
        <v>29.260856081115534</v>
      </c>
      <c r="M29" s="24">
        <v>13358.511751132799</v>
      </c>
      <c r="N29" s="24">
        <v>325.72207774316661</v>
      </c>
      <c r="O29" s="24">
        <v>52531.013675894392</v>
      </c>
      <c r="P29" s="24">
        <f t="shared" si="2"/>
        <v>-6767.9267827967997</v>
      </c>
      <c r="Q29" s="24">
        <v>-1628.8341602399998</v>
      </c>
      <c r="R29" s="23">
        <f t="shared" si="4"/>
        <v>29.260856081115534</v>
      </c>
    </row>
    <row r="30" spans="1:18" x14ac:dyDescent="0.3">
      <c r="A30" s="23" t="s">
        <v>509</v>
      </c>
      <c r="B30" s="24" t="s">
        <v>450</v>
      </c>
      <c r="C30" s="24">
        <v>567.15</v>
      </c>
      <c r="D30" s="24">
        <v>160504.173683</v>
      </c>
      <c r="E30" s="24">
        <v>16149.061940529598</v>
      </c>
      <c r="F30" s="24">
        <v>18073.937402740798</v>
      </c>
      <c r="G30" s="24">
        <f t="shared" si="0"/>
        <v>-1924.8754622111992</v>
      </c>
      <c r="H30" s="24">
        <v>17446.165445692797</v>
      </c>
      <c r="I30" s="24">
        <v>13840.083785692799</v>
      </c>
      <c r="J30" s="24">
        <v>9333.1450768895993</v>
      </c>
      <c r="K30" s="24">
        <v>283.35689200000002</v>
      </c>
      <c r="L30" s="24">
        <f t="shared" si="1"/>
        <v>32.937773318354999</v>
      </c>
      <c r="M30" s="24">
        <v>71277.246333676783</v>
      </c>
      <c r="N30" s="24">
        <v>289.36069045654949</v>
      </c>
      <c r="O30" s="24">
        <v>40657.613604667196</v>
      </c>
      <c r="P30" s="24">
        <f t="shared" si="2"/>
        <v>13840.083785692799</v>
      </c>
      <c r="Q30" s="24">
        <v>-57.027737318399993</v>
      </c>
      <c r="R30" s="23">
        <f t="shared" si="4"/>
        <v>32.937773318354999</v>
      </c>
    </row>
    <row r="31" spans="1:18" x14ac:dyDescent="0.3">
      <c r="A31" s="23" t="s">
        <v>510</v>
      </c>
      <c r="B31" s="24" t="s">
        <v>451</v>
      </c>
      <c r="C31" s="24">
        <v>169.35</v>
      </c>
      <c r="D31" s="24">
        <v>224485.35232100001</v>
      </c>
      <c r="E31" s="24">
        <v>188529.17368930558</v>
      </c>
      <c r="F31" s="24">
        <v>22952.723026031999</v>
      </c>
      <c r="G31" s="24">
        <f t="shared" si="0"/>
        <v>165576.45066327357</v>
      </c>
      <c r="H31" s="24">
        <v>35156.711223403196</v>
      </c>
      <c r="I31" s="24">
        <v>22378.532430571198</v>
      </c>
      <c r="J31" s="24">
        <v>14450.617481241597</v>
      </c>
      <c r="K31" s="24">
        <v>1325.3424649999999</v>
      </c>
      <c r="L31" s="24">
        <f t="shared" si="1"/>
        <v>10.90330828661828</v>
      </c>
      <c r="M31" s="24">
        <v>133445.31050075041</v>
      </c>
      <c r="N31" s="24">
        <v>94.87275648152746</v>
      </c>
      <c r="O31" s="24">
        <v>181838.68454910239</v>
      </c>
      <c r="P31" s="24">
        <f t="shared" si="2"/>
        <v>22378.532430571198</v>
      </c>
      <c r="Q31" s="24">
        <v>-15992.156551607997</v>
      </c>
      <c r="R31" s="23">
        <f t="shared" si="4"/>
        <v>10.90330828661828</v>
      </c>
    </row>
    <row r="32" spans="1:18" x14ac:dyDescent="0.3">
      <c r="A32" s="23" t="s">
        <v>511</v>
      </c>
      <c r="B32" s="24" t="s">
        <v>452</v>
      </c>
      <c r="C32" s="24">
        <v>72.08</v>
      </c>
      <c r="D32" s="24">
        <v>283259.636214</v>
      </c>
      <c r="E32" s="24">
        <v>284382.9147156048</v>
      </c>
      <c r="F32" s="24">
        <v>35477.584662196801</v>
      </c>
      <c r="G32" s="24">
        <f t="shared" si="0"/>
        <v>248905.33005340799</v>
      </c>
      <c r="H32" s="24">
        <v>23372.165184076799</v>
      </c>
      <c r="I32" s="24">
        <v>16256.486360275198</v>
      </c>
      <c r="J32" s="24">
        <v>8625.1863597119991</v>
      </c>
      <c r="K32" s="24">
        <v>3929.7951750000002</v>
      </c>
      <c r="L32" s="24">
        <f t="shared" si="1"/>
        <v>2.1948182985674309</v>
      </c>
      <c r="M32" s="24">
        <v>107180.00108144639</v>
      </c>
      <c r="N32" s="24">
        <v>37.966425372945295</v>
      </c>
      <c r="O32" s="24">
        <v>32326.402034015999</v>
      </c>
      <c r="P32" s="24">
        <f t="shared" si="2"/>
        <v>16256.486360275198</v>
      </c>
      <c r="Q32" s="24">
        <v>-7822.395583531199</v>
      </c>
      <c r="R32" s="23">
        <f t="shared" si="4"/>
        <v>2.1948182985674309</v>
      </c>
    </row>
    <row r="33" spans="1:18" x14ac:dyDescent="0.3">
      <c r="A33" s="23" t="s">
        <v>512</v>
      </c>
      <c r="B33" s="24" t="s">
        <v>453</v>
      </c>
      <c r="C33" s="24">
        <v>236.05</v>
      </c>
      <c r="D33" s="24">
        <v>327315.57155400002</v>
      </c>
      <c r="E33" s="24">
        <v>235200.89292311517</v>
      </c>
      <c r="F33" s="24">
        <v>1967.3582281632</v>
      </c>
      <c r="G33" s="24">
        <f t="shared" si="0"/>
        <v>233233.53469495196</v>
      </c>
      <c r="H33" s="24">
        <v>48286.166825073597</v>
      </c>
      <c r="I33" s="24">
        <v>28340.303510131198</v>
      </c>
      <c r="J33" s="24">
        <v>29986.9189230384</v>
      </c>
      <c r="K33" s="24">
        <v>1386.64</v>
      </c>
      <c r="L33" s="24">
        <f t="shared" si="1"/>
        <v>21.625597792533316</v>
      </c>
      <c r="M33" s="24">
        <v>176293.12240285918</v>
      </c>
      <c r="N33" s="24">
        <v>137.69482919071663</v>
      </c>
      <c r="O33" s="24">
        <v>164959.356663504</v>
      </c>
      <c r="P33" s="24">
        <f t="shared" si="2"/>
        <v>28340.303510131198</v>
      </c>
      <c r="Q33" s="24">
        <v>-10917.242248737599</v>
      </c>
      <c r="R33" s="23">
        <f t="shared" si="4"/>
        <v>21.625597792533316</v>
      </c>
    </row>
    <row r="34" spans="1:18" x14ac:dyDescent="0.3">
      <c r="A34" s="23" t="s">
        <v>513</v>
      </c>
      <c r="B34" s="24" t="s">
        <v>454</v>
      </c>
      <c r="C34" s="24">
        <v>1282.2</v>
      </c>
      <c r="D34" s="24">
        <v>646105.12283500005</v>
      </c>
      <c r="E34" s="24">
        <v>92699.347917887993</v>
      </c>
      <c r="F34" s="24">
        <v>3042.2707362719998</v>
      </c>
      <c r="G34" s="24">
        <f t="shared" si="0"/>
        <v>89657.077181615998</v>
      </c>
      <c r="H34" s="24">
        <v>52566.716603779198</v>
      </c>
      <c r="I34" s="24">
        <v>36812.581039756798</v>
      </c>
      <c r="J34" s="24">
        <v>28814.195725732799</v>
      </c>
      <c r="K34" s="24">
        <v>503.746556</v>
      </c>
      <c r="L34" s="24">
        <f t="shared" si="1"/>
        <v>57.199787040792792</v>
      </c>
      <c r="M34" s="24">
        <v>143652.1913862912</v>
      </c>
      <c r="N34" s="24">
        <v>366.58953769844811</v>
      </c>
      <c r="O34" s="24">
        <v>294023.92472714878</v>
      </c>
      <c r="P34" s="24">
        <f t="shared" si="2"/>
        <v>36812.581039756798</v>
      </c>
      <c r="Q34" s="24">
        <v>-10111.027841323199</v>
      </c>
      <c r="R34" s="23">
        <f t="shared" si="4"/>
        <v>57.199787040792792</v>
      </c>
    </row>
    <row r="35" spans="1:18" x14ac:dyDescent="0.3">
      <c r="A35" s="23" t="s">
        <v>514</v>
      </c>
      <c r="B35" s="24" t="s">
        <v>455</v>
      </c>
      <c r="C35" s="24">
        <v>76.69</v>
      </c>
      <c r="D35" s="24">
        <v>770353.71919500001</v>
      </c>
      <c r="E35" s="24">
        <v>435972.19355650077</v>
      </c>
      <c r="F35" s="24">
        <v>8435.0378648159985</v>
      </c>
      <c r="G35" s="24">
        <f t="shared" si="0"/>
        <v>427537.15569168475</v>
      </c>
      <c r="H35" s="24">
        <v>59340.653237995197</v>
      </c>
      <c r="I35" s="24">
        <v>47489.783614372798</v>
      </c>
      <c r="J35" s="24">
        <v>31983.474073982397</v>
      </c>
      <c r="K35" s="24">
        <v>10047.358490000001</v>
      </c>
      <c r="L35" s="24">
        <f t="shared" si="1"/>
        <v>3.1832719122956661</v>
      </c>
      <c r="M35" s="24">
        <v>277129.17571258073</v>
      </c>
      <c r="N35" s="24">
        <v>41.412151757519197</v>
      </c>
      <c r="O35" s="24">
        <v>114298.6167323136</v>
      </c>
      <c r="P35" s="24">
        <f t="shared" si="2"/>
        <v>47489.783614372798</v>
      </c>
      <c r="Q35" s="24">
        <v>-3901.5619010639998</v>
      </c>
      <c r="R35" s="23">
        <f t="shared" si="4"/>
        <v>3.1832719122956661</v>
      </c>
    </row>
    <row r="36" spans="1:18" x14ac:dyDescent="0.3">
      <c r="A36" s="23" t="s">
        <v>515</v>
      </c>
      <c r="B36" s="24" t="s">
        <v>456</v>
      </c>
      <c r="C36" s="24">
        <v>457.8</v>
      </c>
      <c r="D36" s="24">
        <v>798529.29185399995</v>
      </c>
      <c r="E36" s="24">
        <v>526274.92022987513</v>
      </c>
      <c r="F36" s="24">
        <v>34026.058154721599</v>
      </c>
      <c r="G36" s="24">
        <f t="shared" si="0"/>
        <v>492248.86207515351</v>
      </c>
      <c r="H36" s="24">
        <v>65363.456704636796</v>
      </c>
      <c r="I36" s="24">
        <v>48371.921492155197</v>
      </c>
      <c r="J36" s="24">
        <v>22779.647198308801</v>
      </c>
      <c r="K36" s="24">
        <v>1744.413145</v>
      </c>
      <c r="L36" s="24">
        <f t="shared" si="1"/>
        <v>13.058630785718369</v>
      </c>
      <c r="M36" s="24">
        <v>120528.89235959039</v>
      </c>
      <c r="N36" s="24">
        <v>164.40634889597698</v>
      </c>
      <c r="O36" s="24">
        <v>146910.76607050558</v>
      </c>
      <c r="P36" s="24">
        <f t="shared" si="2"/>
        <v>48371.921492155197</v>
      </c>
      <c r="Q36" s="24">
        <v>-31413.838760884795</v>
      </c>
      <c r="R36" s="23">
        <f t="shared" si="4"/>
        <v>13.058630785718369</v>
      </c>
    </row>
    <row r="37" spans="1:18" x14ac:dyDescent="0.3">
      <c r="A37" s="23" t="s">
        <v>516</v>
      </c>
      <c r="B37" s="24" t="s">
        <v>457</v>
      </c>
      <c r="C37" s="24">
        <v>2997.3068906964581</v>
      </c>
      <c r="D37" s="24">
        <v>1080405.2100300391</v>
      </c>
      <c r="E37" s="24">
        <v>1398.9204623087999</v>
      </c>
      <c r="F37" s="24">
        <v>3462</v>
      </c>
      <c r="G37" s="24">
        <f t="shared" si="0"/>
        <v>-2063.0795376912001</v>
      </c>
      <c r="H37" s="24">
        <v>19169.090176334401</v>
      </c>
      <c r="I37" s="24">
        <v>18301.319089704</v>
      </c>
      <c r="J37" s="24">
        <v>13781.568576211199</v>
      </c>
      <c r="K37" s="24">
        <v>356.12050499999998</v>
      </c>
      <c r="L37" s="24">
        <f t="shared" si="1"/>
        <v>38.699171720570263</v>
      </c>
      <c r="M37" s="24">
        <v>34770.469019716795</v>
      </c>
      <c r="N37" s="24">
        <v>113.59452453122927</v>
      </c>
      <c r="O37" s="24">
        <v>101087.2078512336</v>
      </c>
      <c r="P37" s="24">
        <f t="shared" si="2"/>
        <v>18301.319089704</v>
      </c>
      <c r="Q37" s="24">
        <v>-348.15712679999996</v>
      </c>
      <c r="R37" s="23">
        <f t="shared" si="4"/>
        <v>38.699171720570263</v>
      </c>
    </row>
    <row r="38" spans="1:18" x14ac:dyDescent="0.3">
      <c r="A38" s="23" t="s">
        <v>517</v>
      </c>
      <c r="B38" s="24" t="s">
        <v>458</v>
      </c>
      <c r="C38" s="24">
        <v>999.45000000000016</v>
      </c>
      <c r="D38" s="24">
        <v>1200621.936547</v>
      </c>
      <c r="E38" s="24">
        <v>422517.28442149441</v>
      </c>
      <c r="F38" s="24">
        <v>23049.112678574398</v>
      </c>
      <c r="G38" s="24">
        <f t="shared" si="0"/>
        <v>399468.17174292001</v>
      </c>
      <c r="H38" s="24">
        <v>89358.219427607983</v>
      </c>
      <c r="I38" s="24">
        <v>69758.206156295986</v>
      </c>
      <c r="J38" s="24">
        <v>25129.917404193598</v>
      </c>
      <c r="K38" s="24">
        <v>1200.187353</v>
      </c>
      <c r="L38" s="24">
        <f t="shared" si="1"/>
        <v>20.938328787900165</v>
      </c>
      <c r="M38" s="24">
        <v>72172.351182168</v>
      </c>
      <c r="N38" s="24">
        <v>192.64551174951242</v>
      </c>
      <c r="O38" s="24">
        <v>264345.83796425757</v>
      </c>
      <c r="P38" s="24">
        <f t="shared" si="2"/>
        <v>69758.206156295986</v>
      </c>
      <c r="Q38" s="24">
        <v>-33748.903326182393</v>
      </c>
      <c r="R38" s="23">
        <f t="shared" si="4"/>
        <v>20.938328787900165</v>
      </c>
    </row>
    <row r="39" spans="1:18" x14ac:dyDescent="0.3">
      <c r="A39" s="23" t="s">
        <v>518</v>
      </c>
      <c r="B39" s="24" t="s">
        <v>459</v>
      </c>
      <c r="C39" s="24">
        <v>380.15</v>
      </c>
      <c r="D39" s="24">
        <v>1214708.328792</v>
      </c>
      <c r="E39" s="24">
        <v>664197.04565589596</v>
      </c>
      <c r="F39" s="24">
        <v>51167.203346145601</v>
      </c>
      <c r="G39" s="24">
        <f t="shared" ref="G39:G65" si="5">E39-F39</f>
        <v>613029.84230975038</v>
      </c>
      <c r="H39" s="24">
        <v>149531.19892495198</v>
      </c>
      <c r="I39" s="24">
        <v>108312.411679488</v>
      </c>
      <c r="J39" s="24">
        <v>42575.315290516803</v>
      </c>
      <c r="K39" s="24">
        <v>3201.9939570000001</v>
      </c>
      <c r="L39" s="24">
        <f t="shared" ref="L39:L65" si="6">IF(K39=0, "", J39/K39)</f>
        <v>13.296500824881726</v>
      </c>
      <c r="M39" s="24">
        <v>297738.76841709117</v>
      </c>
      <c r="N39" s="24">
        <v>118.07941943495177</v>
      </c>
      <c r="O39" s="24">
        <v>694423.37495865603</v>
      </c>
      <c r="P39" s="24">
        <f t="shared" ref="P39:P65" si="7">I39</f>
        <v>108312.411679488</v>
      </c>
      <c r="Q39" s="24">
        <v>-46827.865693684798</v>
      </c>
      <c r="R39" s="23">
        <f t="shared" si="4"/>
        <v>13.296500824881726</v>
      </c>
    </row>
    <row r="40" spans="1:18" x14ac:dyDescent="0.3">
      <c r="A40" s="23" t="s">
        <v>519</v>
      </c>
      <c r="B40" s="24" t="s">
        <v>460</v>
      </c>
      <c r="C40" s="24">
        <v>1018.8000000000001</v>
      </c>
      <c r="D40" s="24">
        <v>1593426.083267</v>
      </c>
      <c r="E40" s="24">
        <v>892085.27874131524</v>
      </c>
      <c r="F40" s="24">
        <v>42432.062173905593</v>
      </c>
      <c r="G40" s="24">
        <f t="shared" si="5"/>
        <v>849653.21656740969</v>
      </c>
      <c r="H40" s="24">
        <v>101308.69880321759</v>
      </c>
      <c r="I40" s="24">
        <v>72973.431895766393</v>
      </c>
      <c r="J40" s="24">
        <v>20421.631636948798</v>
      </c>
      <c r="K40" s="24">
        <v>1647.1761550000001</v>
      </c>
      <c r="L40" s="24">
        <f t="shared" si="6"/>
        <v>12.397964586215611</v>
      </c>
      <c r="M40" s="24">
        <v>32021.1332084592</v>
      </c>
      <c r="N40" s="24">
        <v>115.80239525568044</v>
      </c>
      <c r="O40" s="24">
        <v>121861.88704156318</v>
      </c>
      <c r="P40" s="24">
        <f t="shared" si="7"/>
        <v>72973.431895766393</v>
      </c>
      <c r="Q40" s="24">
        <v>-59848.131525019198</v>
      </c>
      <c r="R40" s="23">
        <f t="shared" si="4"/>
        <v>12.397964586215611</v>
      </c>
    </row>
    <row r="41" spans="1:18" x14ac:dyDescent="0.3">
      <c r="A41" s="23" t="s">
        <v>520</v>
      </c>
      <c r="B41" s="24" t="s">
        <v>461</v>
      </c>
      <c r="C41" s="24">
        <v>140.58000000000001</v>
      </c>
      <c r="D41" s="24">
        <v>2711042.381629</v>
      </c>
      <c r="E41" s="24">
        <v>490439.85346655996</v>
      </c>
      <c r="F41" s="24">
        <v>104142.63030107039</v>
      </c>
      <c r="G41" s="24">
        <f t="shared" si="5"/>
        <v>386297.22316548956</v>
      </c>
      <c r="H41" s="24">
        <v>210026.56387573437</v>
      </c>
      <c r="I41" s="24">
        <v>164803.47801334559</v>
      </c>
      <c r="J41" s="24">
        <v>121758.86804221438</v>
      </c>
      <c r="K41" s="24">
        <v>19284.7</v>
      </c>
      <c r="L41" s="24">
        <f t="shared" si="6"/>
        <v>6.3137548441103242</v>
      </c>
      <c r="M41" s="24">
        <v>334567.49121780472</v>
      </c>
      <c r="N41" s="24">
        <v>30.672225088555813</v>
      </c>
      <c r="O41" s="24">
        <v>561388.12338695035</v>
      </c>
      <c r="P41" s="24">
        <f t="shared" si="7"/>
        <v>164803.47801334559</v>
      </c>
      <c r="Q41" s="24">
        <v>-31905.611657668796</v>
      </c>
      <c r="R41" s="23">
        <f t="shared" si="4"/>
        <v>6.3137548441103242</v>
      </c>
    </row>
    <row r="42" spans="1:18" x14ac:dyDescent="0.3">
      <c r="A42" s="23" t="s">
        <v>521</v>
      </c>
      <c r="B42" s="24" t="s">
        <v>462</v>
      </c>
      <c r="C42" s="24">
        <v>322.60000000000002</v>
      </c>
      <c r="D42" s="24">
        <v>3128144.4948280007</v>
      </c>
      <c r="E42" s="24">
        <v>2579278.6888135774</v>
      </c>
      <c r="F42" s="24">
        <v>80460.823774147197</v>
      </c>
      <c r="G42" s="24">
        <f t="shared" si="5"/>
        <v>2498817.8650394301</v>
      </c>
      <c r="H42" s="24">
        <v>550108.7643737375</v>
      </c>
      <c r="I42" s="24">
        <v>368450.55894137756</v>
      </c>
      <c r="J42" s="24">
        <v>240355.01435453279</v>
      </c>
      <c r="K42" s="24">
        <v>9687.9158690000004</v>
      </c>
      <c r="L42" s="24">
        <f t="shared" si="6"/>
        <v>24.809775147164089</v>
      </c>
      <c r="M42" s="24">
        <v>1746474.2768361887</v>
      </c>
      <c r="N42" s="24">
        <v>200.59444371917076</v>
      </c>
      <c r="O42" s="24">
        <v>1889904.7189001951</v>
      </c>
      <c r="P42" s="24">
        <f t="shared" si="7"/>
        <v>368450.55894137756</v>
      </c>
      <c r="Q42" s="24">
        <v>-135577.57298905437</v>
      </c>
      <c r="R42" s="23">
        <f t="shared" si="4"/>
        <v>24.809775147164089</v>
      </c>
    </row>
    <row r="43" spans="1:18" x14ac:dyDescent="0.3">
      <c r="A43" s="23" t="s">
        <v>522</v>
      </c>
      <c r="B43" s="24" t="s">
        <v>463</v>
      </c>
      <c r="C43" s="24">
        <v>6.2699999999999987</v>
      </c>
      <c r="D43" s="24">
        <v>183.87688499999999</v>
      </c>
      <c r="E43" s="24">
        <v>7.5138650351999994</v>
      </c>
      <c r="F43" s="24">
        <v>83.64473285759999</v>
      </c>
      <c r="G43" s="24">
        <f t="shared" si="5"/>
        <v>-76.130867822399992</v>
      </c>
      <c r="H43" s="24">
        <v>-5.4302712767999992</v>
      </c>
      <c r="I43" s="24">
        <v>-7.5311256815999998</v>
      </c>
      <c r="J43" s="24">
        <v>-2.1069675504000003</v>
      </c>
      <c r="K43" s="24">
        <v>25.55</v>
      </c>
      <c r="L43" s="24">
        <f t="shared" si="6"/>
        <v>-8.2464483381604711E-2</v>
      </c>
      <c r="M43" s="24">
        <v>-332.18212885920002</v>
      </c>
      <c r="N43" s="24">
        <v>4.0548262757658815</v>
      </c>
      <c r="O43" s="24">
        <v>187.48433210399998</v>
      </c>
      <c r="P43" s="24">
        <f t="shared" si="7"/>
        <v>-7.5311256815999998</v>
      </c>
      <c r="Q43" s="24">
        <v>-0.52321334399999997</v>
      </c>
      <c r="R43" s="23">
        <f t="shared" si="4"/>
        <v>-8.2464483381604711E-2</v>
      </c>
    </row>
    <row r="44" spans="1:18" x14ac:dyDescent="0.3">
      <c r="A44" s="23" t="s">
        <v>523</v>
      </c>
      <c r="B44" s="24" t="s">
        <v>464</v>
      </c>
      <c r="C44" s="24">
        <v>7</v>
      </c>
      <c r="D44" s="24">
        <v>365.69745799999998</v>
      </c>
      <c r="E44" s="24">
        <v>231.88536718559999</v>
      </c>
      <c r="F44" s="24">
        <v>42.650338060799996</v>
      </c>
      <c r="G44" s="24">
        <f t="shared" si="5"/>
        <v>189.23502912480001</v>
      </c>
      <c r="H44" s="24">
        <v>-121.37299981919999</v>
      </c>
      <c r="I44" s="24">
        <v>-145.84607923679999</v>
      </c>
      <c r="J44" s="24">
        <v>-138.68848473119999</v>
      </c>
      <c r="K44" s="24">
        <v>52.430157999999999</v>
      </c>
      <c r="L44" s="24">
        <f t="shared" si="6"/>
        <v>-2.6452044018482646</v>
      </c>
      <c r="M44" s="24">
        <v>-1236.1678496208001</v>
      </c>
      <c r="N44" s="24">
        <v>1.5030233779761941</v>
      </c>
      <c r="O44" s="24">
        <v>118.66973087519999</v>
      </c>
      <c r="P44" s="24">
        <f t="shared" si="7"/>
        <v>-145.84607923679999</v>
      </c>
      <c r="Q44" s="24">
        <v>-0.78</v>
      </c>
      <c r="R44" s="23">
        <f t="shared" si="4"/>
        <v>-2.6452044018482646</v>
      </c>
    </row>
    <row r="45" spans="1:18" x14ac:dyDescent="0.3">
      <c r="A45" s="23" t="s">
        <v>524</v>
      </c>
      <c r="B45" s="24" t="s">
        <v>465</v>
      </c>
      <c r="C45" s="24">
        <v>113.38809066530168</v>
      </c>
      <c r="D45" s="24">
        <v>2769.1997622583986</v>
      </c>
      <c r="E45" s="24">
        <v>842.23548856799994</v>
      </c>
      <c r="F45" s="24">
        <v>591.51992484959999</v>
      </c>
      <c r="G45" s="24">
        <f t="shared" si="5"/>
        <v>250.71556371839995</v>
      </c>
      <c r="H45" s="24">
        <v>352.19216249279998</v>
      </c>
      <c r="I45" s="24">
        <v>348.24747549599999</v>
      </c>
      <c r="J45" s="24">
        <v>221.31061418879997</v>
      </c>
      <c r="K45" s="24">
        <v>30.139140000000001</v>
      </c>
      <c r="L45" s="24">
        <f t="shared" si="6"/>
        <v>7.3429638068239491</v>
      </c>
      <c r="M45" s="24">
        <v>1002.5614521503999</v>
      </c>
      <c r="N45" s="24">
        <v>41.058936116791138</v>
      </c>
      <c r="O45" s="24">
        <v>2386.9275036767999</v>
      </c>
      <c r="P45" s="24">
        <f t="shared" si="7"/>
        <v>348.24747549599999</v>
      </c>
      <c r="Q45" s="24">
        <v>-0.59</v>
      </c>
      <c r="R45" s="23">
        <f t="shared" si="4"/>
        <v>7.3429638068239491</v>
      </c>
    </row>
    <row r="46" spans="1:18" x14ac:dyDescent="0.3">
      <c r="A46" s="23" t="s">
        <v>525</v>
      </c>
      <c r="B46" s="24" t="s">
        <v>466</v>
      </c>
      <c r="C46" s="24">
        <v>157.66</v>
      </c>
      <c r="D46" s="24">
        <v>15052.916906</v>
      </c>
      <c r="E46" s="24">
        <v>251.67982253759999</v>
      </c>
      <c r="F46" s="24">
        <v>4.0734226511999996</v>
      </c>
      <c r="G46" s="24">
        <f t="shared" si="5"/>
        <v>247.6063998864</v>
      </c>
      <c r="H46" s="24">
        <v>-11.7144051552</v>
      </c>
      <c r="I46" s="24">
        <v>1.5153409151999999</v>
      </c>
      <c r="J46" s="24">
        <v>78.873332817600001</v>
      </c>
      <c r="K46" s="24">
        <v>111.13263000000001</v>
      </c>
      <c r="L46" s="24">
        <f t="shared" si="6"/>
        <v>0.709722543393421</v>
      </c>
      <c r="M46" s="24">
        <v>-101.82576726719999</v>
      </c>
      <c r="N46" s="24">
        <v>5.2767772070474717</v>
      </c>
      <c r="O46" s="24">
        <v>244.2919961808</v>
      </c>
      <c r="P46" s="24">
        <f t="shared" si="7"/>
        <v>1.5153409151999999</v>
      </c>
      <c r="Q46" s="24">
        <v>-3.66</v>
      </c>
      <c r="R46" s="23">
        <f t="shared" si="4"/>
        <v>0.709722543393421</v>
      </c>
    </row>
    <row r="47" spans="1:18" x14ac:dyDescent="0.3">
      <c r="A47" s="23" t="s">
        <v>526</v>
      </c>
      <c r="B47" s="24" t="s">
        <v>467</v>
      </c>
      <c r="C47" s="24">
        <v>342.5</v>
      </c>
      <c r="D47" s="24">
        <v>22915.661542999998</v>
      </c>
      <c r="E47" s="24">
        <v>4642.3428161616002</v>
      </c>
      <c r="F47" s="24">
        <v>600.39702135359994</v>
      </c>
      <c r="G47" s="24">
        <f t="shared" si="5"/>
        <v>4041.9457948080003</v>
      </c>
      <c r="H47" s="24">
        <v>2291.0621432687999</v>
      </c>
      <c r="I47" s="24">
        <v>2127.6476027712001</v>
      </c>
      <c r="J47" s="24">
        <v>1351.4070270239999</v>
      </c>
      <c r="K47" s="24">
        <v>67.060446999999996</v>
      </c>
      <c r="L47" s="24">
        <f t="shared" si="6"/>
        <v>20.152073054687513</v>
      </c>
      <c r="M47" s="24">
        <v>3408.1993167264</v>
      </c>
      <c r="N47" s="24">
        <v>56.94169313550551</v>
      </c>
      <c r="O47" s="24">
        <v>11466.9950951664</v>
      </c>
      <c r="P47" s="24">
        <f t="shared" si="7"/>
        <v>2127.6476027712001</v>
      </c>
      <c r="Q47" s="24">
        <v>-3.66</v>
      </c>
      <c r="R47" s="23">
        <f t="shared" si="4"/>
        <v>20.152073054687513</v>
      </c>
    </row>
    <row r="48" spans="1:18" x14ac:dyDescent="0.3">
      <c r="A48" s="23" t="s">
        <v>527</v>
      </c>
      <c r="B48" s="24" t="s">
        <v>468</v>
      </c>
      <c r="C48" s="24">
        <v>156.94999999999999</v>
      </c>
      <c r="D48" s="24">
        <v>28024.122968</v>
      </c>
      <c r="E48" s="24">
        <v>1117.2132281807999</v>
      </c>
      <c r="F48" s="24">
        <v>296.21876299199999</v>
      </c>
      <c r="G48" s="24">
        <f t="shared" si="5"/>
        <v>820.99446518879995</v>
      </c>
      <c r="H48" s="24">
        <v>356.40313091999997</v>
      </c>
      <c r="I48" s="24">
        <v>235.89514120319998</v>
      </c>
      <c r="J48" s="24">
        <v>-602.38972702080002</v>
      </c>
      <c r="K48" s="24">
        <v>164.85714200000001</v>
      </c>
      <c r="L48" s="24">
        <f t="shared" si="6"/>
        <v>-3.6540104948610597</v>
      </c>
      <c r="M48" s="24">
        <v>-3049.8549024815998</v>
      </c>
      <c r="N48" s="24">
        <v>9.9808007754445427</v>
      </c>
      <c r="O48" s="24">
        <v>909.46049214239986</v>
      </c>
      <c r="P48" s="24">
        <f t="shared" si="7"/>
        <v>235.89514120319998</v>
      </c>
      <c r="Q48" s="24">
        <v>-0.38</v>
      </c>
      <c r="R48" s="23">
        <f t="shared" si="4"/>
        <v>-3.6540104948610597</v>
      </c>
    </row>
    <row r="49" spans="1:18" x14ac:dyDescent="0.3">
      <c r="A49" s="23" t="s">
        <v>528</v>
      </c>
      <c r="B49" s="24" t="s">
        <v>469</v>
      </c>
      <c r="C49" s="24">
        <v>193.25</v>
      </c>
      <c r="D49" s="24">
        <v>72411.836909000005</v>
      </c>
      <c r="E49" s="24">
        <v>963.29788665119997</v>
      </c>
      <c r="F49" s="24">
        <v>633.39443281439992</v>
      </c>
      <c r="G49" s="24">
        <f t="shared" si="5"/>
        <v>329.90345383680005</v>
      </c>
      <c r="H49" s="24">
        <v>315.51319899359993</v>
      </c>
      <c r="I49" s="24">
        <v>-167.37846592319997</v>
      </c>
      <c r="J49" s="24">
        <v>603.08374884479997</v>
      </c>
      <c r="K49" s="24">
        <v>377.02702699999998</v>
      </c>
      <c r="L49" s="24">
        <f t="shared" si="6"/>
        <v>1.5995769683768586</v>
      </c>
      <c r="M49" s="24">
        <v>-3545.9790104447998</v>
      </c>
      <c r="N49" s="24">
        <v>54.21321439058935</v>
      </c>
      <c r="O49" s="24">
        <v>2748.2942391264</v>
      </c>
      <c r="P49" s="24">
        <f t="shared" si="7"/>
        <v>-167.37846592319997</v>
      </c>
      <c r="Q49" s="24">
        <v>-91.17</v>
      </c>
      <c r="R49" s="23">
        <f t="shared" si="4"/>
        <v>1.5995769683768586</v>
      </c>
    </row>
    <row r="50" spans="1:18" x14ac:dyDescent="0.3">
      <c r="A50" s="23" t="s">
        <v>529</v>
      </c>
      <c r="B50" s="24" t="s">
        <v>470</v>
      </c>
      <c r="C50" s="24">
        <v>400.1</v>
      </c>
      <c r="D50" s="24">
        <v>78956.163306999995</v>
      </c>
      <c r="E50" s="24">
        <v>15466.483295798398</v>
      </c>
      <c r="F50" s="24">
        <v>1257.0530519663998</v>
      </c>
      <c r="G50" s="24">
        <f t="shared" si="5"/>
        <v>14209.430243831997</v>
      </c>
      <c r="H50" s="24">
        <v>6615.0194809967998</v>
      </c>
      <c r="I50" s="24">
        <v>5893.1988465743998</v>
      </c>
      <c r="J50" s="24">
        <v>3825.3563270063996</v>
      </c>
      <c r="K50" s="24">
        <v>210.82708299999999</v>
      </c>
      <c r="L50" s="24">
        <f t="shared" si="6"/>
        <v>18.144520488415615</v>
      </c>
      <c r="M50" s="24">
        <v>6892.5989034575996</v>
      </c>
      <c r="N50" s="24">
        <v>139.10926989285079</v>
      </c>
      <c r="O50" s="24">
        <v>20872.484485574398</v>
      </c>
      <c r="P50" s="24">
        <f t="shared" si="7"/>
        <v>5893.1988465743998</v>
      </c>
      <c r="Q50" s="24">
        <v>-954.27</v>
      </c>
      <c r="R50" s="23">
        <f t="shared" si="4"/>
        <v>18.144520488415615</v>
      </c>
    </row>
    <row r="51" spans="1:18" x14ac:dyDescent="0.3">
      <c r="A51" s="23" t="s">
        <v>530</v>
      </c>
      <c r="B51" s="24" t="s">
        <v>471</v>
      </c>
      <c r="C51" s="24">
        <v>945.00000000000011</v>
      </c>
      <c r="D51" s="24">
        <v>98513.007704999996</v>
      </c>
      <c r="E51" s="24">
        <v>288.03757619519996</v>
      </c>
      <c r="F51" s="24">
        <v>2036.7418913279998</v>
      </c>
      <c r="G51" s="24">
        <f t="shared" si="5"/>
        <v>-1748.7043151327998</v>
      </c>
      <c r="H51" s="24">
        <v>3271.5937964591999</v>
      </c>
      <c r="I51" s="24">
        <v>3204.5388821711999</v>
      </c>
      <c r="J51" s="24">
        <v>2411.4333963023996</v>
      </c>
      <c r="K51" s="24">
        <v>104.237222</v>
      </c>
      <c r="L51" s="24">
        <f t="shared" si="6"/>
        <v>23.134091162774844</v>
      </c>
      <c r="M51" s="24">
        <v>2159.2504978416</v>
      </c>
      <c r="N51" s="24">
        <v>45.974796093702473</v>
      </c>
      <c r="O51" s="24">
        <v>16812.9143122032</v>
      </c>
      <c r="P51" s="24">
        <f t="shared" si="7"/>
        <v>3204.5388821711999</v>
      </c>
      <c r="Q51" s="24">
        <v>-162.72999999999999</v>
      </c>
      <c r="R51" s="23">
        <f t="shared" si="4"/>
        <v>23.134091162774844</v>
      </c>
    </row>
    <row r="52" spans="1:18" x14ac:dyDescent="0.3">
      <c r="A52" s="23" t="s">
        <v>531</v>
      </c>
      <c r="B52" s="24" t="s">
        <v>472</v>
      </c>
      <c r="C52" s="24">
        <v>33.54</v>
      </c>
      <c r="D52" s="24">
        <v>138713.75820000001</v>
      </c>
      <c r="E52" s="24">
        <v>202272.20292797277</v>
      </c>
      <c r="F52" s="24">
        <v>5245.0577085887999</v>
      </c>
      <c r="G52" s="24">
        <f t="shared" si="5"/>
        <v>197027.14521938397</v>
      </c>
      <c r="H52" s="24">
        <v>15299.358705216</v>
      </c>
      <c r="I52" s="24">
        <v>1675.3412638799998</v>
      </c>
      <c r="J52" s="24">
        <v>-20155.401449092798</v>
      </c>
      <c r="K52" s="24">
        <v>4016.98</v>
      </c>
      <c r="L52" s="24">
        <f t="shared" si="6"/>
        <v>-5.0175508588772653</v>
      </c>
      <c r="M52" s="24">
        <v>-14581.724406839998</v>
      </c>
      <c r="N52" s="24">
        <v>31.163505656359813</v>
      </c>
      <c r="O52" s="24">
        <v>85912.032304929598</v>
      </c>
      <c r="P52" s="24">
        <f t="shared" si="7"/>
        <v>1675.3412638799998</v>
      </c>
      <c r="Q52" s="24">
        <v>-14363.68</v>
      </c>
      <c r="R52" s="23">
        <f t="shared" si="4"/>
        <v>-5.0175508588772653</v>
      </c>
    </row>
    <row r="53" spans="1:18" x14ac:dyDescent="0.3">
      <c r="A53" s="23" t="s">
        <v>532</v>
      </c>
      <c r="B53" s="24" t="s">
        <v>473</v>
      </c>
      <c r="C53" s="24">
        <v>90.800502776263244</v>
      </c>
      <c r="D53" s="24">
        <v>765620.72018101264</v>
      </c>
      <c r="E53" s="24">
        <v>203870.94755627518</v>
      </c>
      <c r="F53" s="24">
        <v>379.24471965599997</v>
      </c>
      <c r="G53" s="24">
        <f t="shared" si="5"/>
        <v>203491.70283661917</v>
      </c>
      <c r="H53" s="24">
        <v>20695.690966334401</v>
      </c>
      <c r="I53" s="24">
        <v>12595.4224394544</v>
      </c>
      <c r="J53" s="24">
        <v>5844.7399414031988</v>
      </c>
      <c r="K53" s="24">
        <v>8480</v>
      </c>
      <c r="L53" s="24">
        <f t="shared" si="6"/>
        <v>0.68923820063716967</v>
      </c>
      <c r="M53" s="24">
        <v>105376.25643060959</v>
      </c>
      <c r="N53" s="24">
        <v>23.216585431125711</v>
      </c>
      <c r="O53" s="24">
        <v>24238.865930831998</v>
      </c>
      <c r="P53" s="24">
        <f t="shared" si="7"/>
        <v>12595.4224394544</v>
      </c>
      <c r="Q53" s="24">
        <v>-8151.67</v>
      </c>
      <c r="R53" s="23">
        <f t="shared" si="4"/>
        <v>0.68923820063716967</v>
      </c>
    </row>
    <row r="54" spans="1:18" x14ac:dyDescent="0.3">
      <c r="A54" s="23" t="s">
        <v>533</v>
      </c>
      <c r="B54" s="24" t="s">
        <v>474</v>
      </c>
      <c r="C54" s="24">
        <v>264.8</v>
      </c>
      <c r="D54" s="24">
        <v>2462799.8912709998</v>
      </c>
      <c r="E54" s="24">
        <v>1413501.9542363086</v>
      </c>
      <c r="F54" s="24">
        <v>89320.452144393596</v>
      </c>
      <c r="G54" s="24">
        <f t="shared" si="5"/>
        <v>1324181.5020919149</v>
      </c>
      <c r="H54" s="24">
        <v>390178.85117754235</v>
      </c>
      <c r="I54" s="24">
        <v>261378.46683636477</v>
      </c>
      <c r="J54" s="24">
        <v>153831.75900698881</v>
      </c>
      <c r="K54" s="24">
        <v>9286.6666659999992</v>
      </c>
      <c r="L54" s="24">
        <f t="shared" si="6"/>
        <v>16.564798171360231</v>
      </c>
      <c r="M54" s="24">
        <v>786049.89585007681</v>
      </c>
      <c r="N54" s="24">
        <v>107.80643087864652</v>
      </c>
      <c r="O54" s="24">
        <v>467335.07448415196</v>
      </c>
      <c r="P54" s="24">
        <f t="shared" si="7"/>
        <v>261378.46683636477</v>
      </c>
      <c r="Q54" s="24">
        <v>-80534.720000000001</v>
      </c>
      <c r="R54" s="23">
        <f t="shared" si="4"/>
        <v>16.564798171360231</v>
      </c>
    </row>
    <row r="55" spans="1:18" x14ac:dyDescent="0.3">
      <c r="A55" s="23" t="s">
        <v>534</v>
      </c>
      <c r="B55" s="24" t="s">
        <v>475</v>
      </c>
      <c r="C55" s="24">
        <v>136.99602131992123</v>
      </c>
      <c r="D55" s="24">
        <v>1830.7207573177845</v>
      </c>
      <c r="E55" s="24">
        <v>0.80954229599999994</v>
      </c>
      <c r="F55" s="24">
        <v>211.74542920799996</v>
      </c>
      <c r="G55" s="24">
        <f t="shared" si="5"/>
        <v>-210.93588691199997</v>
      </c>
      <c r="H55" s="24">
        <v>125.68510484639999</v>
      </c>
      <c r="I55" s="24">
        <v>123.69150018719999</v>
      </c>
      <c r="J55" s="24">
        <v>97.004742868799994</v>
      </c>
      <c r="K55" s="24">
        <v>13.217948</v>
      </c>
      <c r="L55" s="24">
        <f t="shared" si="6"/>
        <v>7.3388655235139373</v>
      </c>
      <c r="M55" s="24">
        <v>134.5392770544</v>
      </c>
      <c r="N55" s="24">
        <v>37.370215656614754</v>
      </c>
      <c r="O55" s="24">
        <v>828.03950589599992</v>
      </c>
      <c r="P55" s="24">
        <f t="shared" si="7"/>
        <v>123.69150018719999</v>
      </c>
      <c r="Q55" s="24">
        <v>-0.71</v>
      </c>
      <c r="R55" s="23">
        <f t="shared" si="4"/>
        <v>7.3388655235139373</v>
      </c>
    </row>
    <row r="56" spans="1:18" x14ac:dyDescent="0.3">
      <c r="A56" s="23" t="s">
        <v>535</v>
      </c>
      <c r="B56" s="24" t="s">
        <v>476</v>
      </c>
      <c r="C56" s="24">
        <v>37.502598315325635</v>
      </c>
      <c r="D56" s="24">
        <v>126.06854643362223</v>
      </c>
      <c r="E56" s="24">
        <v>4.6393381152000002</v>
      </c>
      <c r="F56" s="24">
        <v>16.346281636799997</v>
      </c>
      <c r="G56" s="24">
        <f t="shared" si="5"/>
        <v>-11.706943521599996</v>
      </c>
      <c r="H56" s="24">
        <v>-23.249191708799998</v>
      </c>
      <c r="I56" s="24">
        <v>-26.342533281599998</v>
      </c>
      <c r="J56" s="24">
        <v>-13.249883491199999</v>
      </c>
      <c r="K56" s="24">
        <v>3.3564349999999998</v>
      </c>
      <c r="L56" s="24">
        <f t="shared" si="6"/>
        <v>-3.9476061628483792</v>
      </c>
      <c r="M56" s="24">
        <v>110.31351033599999</v>
      </c>
      <c r="N56" s="24">
        <v>47.180238424024118</v>
      </c>
      <c r="O56" s="24">
        <v>0.92</v>
      </c>
      <c r="P56" s="24">
        <f t="shared" si="7"/>
        <v>-26.342533281599998</v>
      </c>
      <c r="Q56" s="24">
        <v>-0.4</v>
      </c>
      <c r="R56" s="23">
        <f t="shared" si="4"/>
        <v>-3.9476061628483792</v>
      </c>
    </row>
    <row r="57" spans="1:18" x14ac:dyDescent="0.3">
      <c r="A57" s="23" t="s">
        <v>536</v>
      </c>
      <c r="B57" s="24" t="s">
        <v>477</v>
      </c>
      <c r="C57" s="24">
        <v>109.81621054031636</v>
      </c>
      <c r="D57" s="24">
        <v>915.647563485158</v>
      </c>
      <c r="E57" s="24">
        <v>220.19289743519997</v>
      </c>
      <c r="F57" s="24">
        <v>46.820312452799996</v>
      </c>
      <c r="G57" s="24">
        <f t="shared" si="5"/>
        <v>173.37258498239999</v>
      </c>
      <c r="H57" s="24">
        <v>103.9969228464</v>
      </c>
      <c r="I57" s="24">
        <v>95.071370673599986</v>
      </c>
      <c r="J57" s="24">
        <v>50.023061351999999</v>
      </c>
      <c r="K57" s="24">
        <v>8.3302320000000005</v>
      </c>
      <c r="L57" s="24">
        <f t="shared" si="6"/>
        <v>6.0050021838527421</v>
      </c>
      <c r="M57" s="24">
        <v>81.789033571199994</v>
      </c>
      <c r="N57" s="24">
        <v>36.812868057077367</v>
      </c>
      <c r="O57" s="24">
        <v>769.68674426879988</v>
      </c>
      <c r="P57" s="24">
        <f t="shared" si="7"/>
        <v>95.071370673599986</v>
      </c>
      <c r="Q57" s="24">
        <v>-35.880000000000003</v>
      </c>
      <c r="R57" s="23">
        <f t="shared" si="4"/>
        <v>6.0050021838527421</v>
      </c>
    </row>
    <row r="58" spans="1:18" x14ac:dyDescent="0.3">
      <c r="A58" s="23" t="s">
        <v>537</v>
      </c>
      <c r="B58" s="24" t="s">
        <v>478</v>
      </c>
      <c r="C58" s="24">
        <v>211.47103984688823</v>
      </c>
      <c r="D58" s="24">
        <v>1718.2676207332895</v>
      </c>
      <c r="E58" s="24">
        <v>55.095893409599995</v>
      </c>
      <c r="F58" s="24">
        <v>677.77955573759994</v>
      </c>
      <c r="G58" s="24">
        <f t="shared" si="5"/>
        <v>-622.68366232799997</v>
      </c>
      <c r="H58" s="24">
        <v>176.40021023999998</v>
      </c>
      <c r="I58" s="24">
        <v>174.94501188959998</v>
      </c>
      <c r="J58" s="24">
        <v>182.56208120639997</v>
      </c>
      <c r="K58" s="24">
        <v>7.6003030000000003</v>
      </c>
      <c r="L58" s="24">
        <f t="shared" si="6"/>
        <v>24.020368820348342</v>
      </c>
      <c r="M58" s="24">
        <v>285.61002809759998</v>
      </c>
      <c r="N58" s="24">
        <v>111.35022960444417</v>
      </c>
      <c r="O58" s="24">
        <v>4289.9047793567997</v>
      </c>
      <c r="P58" s="24">
        <f t="shared" si="7"/>
        <v>174.94501188959998</v>
      </c>
      <c r="Q58" s="24">
        <v>-3.43</v>
      </c>
      <c r="R58" s="23">
        <f t="shared" si="4"/>
        <v>24.020368820348342</v>
      </c>
    </row>
    <row r="59" spans="1:18" x14ac:dyDescent="0.3">
      <c r="A59" s="23" t="s">
        <v>538</v>
      </c>
      <c r="B59" s="24" t="s">
        <v>479</v>
      </c>
      <c r="C59" s="24">
        <v>1123.4000000000001</v>
      </c>
      <c r="D59" s="24">
        <v>110966.95580500001</v>
      </c>
      <c r="E59" s="24">
        <v>2232.8190586655996</v>
      </c>
      <c r="F59" s="24">
        <v>1877.8186249631999</v>
      </c>
      <c r="G59" s="24">
        <f t="shared" si="5"/>
        <v>355.00043370239973</v>
      </c>
      <c r="H59" s="24">
        <v>15444.440821051199</v>
      </c>
      <c r="I59" s="24">
        <v>11911.5389977344</v>
      </c>
      <c r="J59" s="24">
        <v>9863.4051696815986</v>
      </c>
      <c r="K59" s="24">
        <v>98.777777999999998</v>
      </c>
      <c r="L59" s="24">
        <f t="shared" si="6"/>
        <v>99.85449530644027</v>
      </c>
      <c r="M59" s="24">
        <v>61834.130172503996</v>
      </c>
      <c r="N59" s="24">
        <v>636.11228214205346</v>
      </c>
      <c r="O59" s="24">
        <v>80403.343664054395</v>
      </c>
      <c r="P59" s="24">
        <f t="shared" si="7"/>
        <v>11911.5389977344</v>
      </c>
      <c r="Q59" s="24">
        <v>-177.23</v>
      </c>
      <c r="R59" s="23">
        <f t="shared" si="4"/>
        <v>99.85449530644027</v>
      </c>
    </row>
    <row r="60" spans="1:18" x14ac:dyDescent="0.3">
      <c r="A60" s="23" t="s">
        <v>539</v>
      </c>
      <c r="B60" s="24" t="s">
        <v>480</v>
      </c>
      <c r="C60" s="24">
        <v>282.3</v>
      </c>
      <c r="D60" s="24">
        <v>159276.871445</v>
      </c>
      <c r="E60" s="24">
        <v>1413.8326719071999</v>
      </c>
      <c r="F60" s="24">
        <v>25859.706703704</v>
      </c>
      <c r="G60" s="24">
        <f t="shared" si="5"/>
        <v>-24445.8740317968</v>
      </c>
      <c r="H60" s="24">
        <v>24780.903178420798</v>
      </c>
      <c r="I60" s="24">
        <v>17903.186997624001</v>
      </c>
      <c r="J60" s="24">
        <v>10422.195852383998</v>
      </c>
      <c r="K60" s="24">
        <v>564.43116799999996</v>
      </c>
      <c r="L60" s="24">
        <f t="shared" si="6"/>
        <v>18.464954529910013</v>
      </c>
      <c r="M60" s="24">
        <v>145511.96571352798</v>
      </c>
      <c r="N60" s="24">
        <v>214.0863579491712</v>
      </c>
      <c r="O60" s="24">
        <v>169665.22890692638</v>
      </c>
      <c r="P60" s="24">
        <f t="shared" si="7"/>
        <v>17903.186997624001</v>
      </c>
      <c r="Q60" s="24">
        <v>-377.47</v>
      </c>
      <c r="R60" s="23">
        <f t="shared" si="4"/>
        <v>18.464954529910013</v>
      </c>
    </row>
    <row r="61" spans="1:18" x14ac:dyDescent="0.3">
      <c r="A61" s="23" t="s">
        <v>540</v>
      </c>
      <c r="B61" s="24" t="s">
        <v>481</v>
      </c>
      <c r="C61" s="24">
        <v>184.1</v>
      </c>
      <c r="D61" s="24">
        <v>257740.29455999998</v>
      </c>
      <c r="E61" s="24">
        <v>980.39788318079991</v>
      </c>
      <c r="F61" s="24">
        <v>1521.8193212495999</v>
      </c>
      <c r="G61" s="24">
        <f t="shared" si="5"/>
        <v>-541.42143806879994</v>
      </c>
      <c r="H61" s="24">
        <v>20175.442497950397</v>
      </c>
      <c r="I61" s="24">
        <v>14909.199143889598</v>
      </c>
      <c r="J61" s="24">
        <v>17466.685747185602</v>
      </c>
      <c r="K61" s="24">
        <v>1400.001602</v>
      </c>
      <c r="L61" s="24">
        <f t="shared" si="6"/>
        <v>12.476189828806783</v>
      </c>
      <c r="M61" s="24">
        <v>108762.0993445824</v>
      </c>
      <c r="N61" s="24">
        <v>79.517030119112718</v>
      </c>
      <c r="O61" s="24">
        <v>160709.63763563999</v>
      </c>
      <c r="P61" s="24">
        <f t="shared" si="7"/>
        <v>14909.199143889598</v>
      </c>
      <c r="Q61" s="24">
        <v>-82.23</v>
      </c>
      <c r="R61" s="23">
        <f t="shared" si="4"/>
        <v>12.476189828806783</v>
      </c>
    </row>
    <row r="62" spans="1:18" x14ac:dyDescent="0.3">
      <c r="A62" s="23" t="s">
        <v>541</v>
      </c>
      <c r="B62" s="24" t="s">
        <v>482</v>
      </c>
      <c r="C62" s="24">
        <v>391.65</v>
      </c>
      <c r="D62" s="24">
        <v>269607.99245600001</v>
      </c>
      <c r="E62" s="24">
        <v>1530.6103842191999</v>
      </c>
      <c r="F62" s="24">
        <v>7987.6105353071998</v>
      </c>
      <c r="G62" s="24">
        <f t="shared" si="5"/>
        <v>-6457.0001510880002</v>
      </c>
      <c r="H62" s="24">
        <v>18728.903058696</v>
      </c>
      <c r="I62" s="24">
        <v>13960.8871841808</v>
      </c>
      <c r="J62" s="24">
        <v>11296.866073319999</v>
      </c>
      <c r="K62" s="24">
        <v>689.18719199999998</v>
      </c>
      <c r="L62" s="24">
        <f t="shared" si="6"/>
        <v>16.391578666075965</v>
      </c>
      <c r="M62" s="24">
        <v>79882.362337391998</v>
      </c>
      <c r="N62" s="24">
        <v>127.72398215142364</v>
      </c>
      <c r="O62" s="24">
        <v>161589.95514452158</v>
      </c>
      <c r="P62" s="24">
        <f t="shared" si="7"/>
        <v>13960.8871841808</v>
      </c>
      <c r="Q62" s="24">
        <v>-335.15</v>
      </c>
      <c r="R62" s="23">
        <f t="shared" si="4"/>
        <v>16.391578666075965</v>
      </c>
    </row>
    <row r="63" spans="1:18" x14ac:dyDescent="0.3">
      <c r="A63" s="23" t="s">
        <v>542</v>
      </c>
      <c r="B63" s="24" t="s">
        <v>483</v>
      </c>
      <c r="C63" s="24">
        <v>271</v>
      </c>
      <c r="D63" s="24">
        <v>406500.02384799992</v>
      </c>
      <c r="E63" s="24">
        <v>27858.651285484797</v>
      </c>
      <c r="F63" s="24">
        <v>8219.6344371600007</v>
      </c>
      <c r="G63" s="24">
        <f t="shared" si="5"/>
        <v>19639.016848324798</v>
      </c>
      <c r="H63" s="24">
        <v>54523.160349868798</v>
      </c>
      <c r="I63" s="24">
        <v>45116.337934123199</v>
      </c>
      <c r="J63" s="24">
        <v>38895.965782516803</v>
      </c>
      <c r="K63" s="24">
        <v>1500.677361</v>
      </c>
      <c r="L63" s="24">
        <f t="shared" si="6"/>
        <v>25.918939535809258</v>
      </c>
      <c r="M63" s="24">
        <v>193384.59954487198</v>
      </c>
      <c r="N63" s="24">
        <v>138.97862393644954</v>
      </c>
      <c r="O63" s="24">
        <v>518531.36067099357</v>
      </c>
      <c r="P63" s="24">
        <f t="shared" si="7"/>
        <v>45116.337934123199</v>
      </c>
      <c r="Q63" s="24">
        <v>-2649.94</v>
      </c>
      <c r="R63" s="23">
        <f t="shared" si="4"/>
        <v>25.918939535809258</v>
      </c>
    </row>
    <row r="64" spans="1:18" x14ac:dyDescent="0.3">
      <c r="A64" s="23" t="s">
        <v>543</v>
      </c>
      <c r="B64" s="24" t="s">
        <v>484</v>
      </c>
      <c r="C64" s="24">
        <v>586.9</v>
      </c>
      <c r="D64" s="24">
        <v>645478.53771299997</v>
      </c>
      <c r="E64" s="24">
        <v>19233.5831432208</v>
      </c>
      <c r="F64" s="24">
        <v>2357.3362830048</v>
      </c>
      <c r="G64" s="24">
        <f t="shared" si="5"/>
        <v>16876.246860216001</v>
      </c>
      <c r="H64" s="24">
        <v>11730.771124761599</v>
      </c>
      <c r="I64" s="24">
        <v>9660.1014551519984</v>
      </c>
      <c r="J64" s="24">
        <v>6793.3632220415993</v>
      </c>
      <c r="K64" s="24">
        <v>1101.5999999999999</v>
      </c>
      <c r="L64" s="24">
        <f t="shared" si="6"/>
        <v>6.166814834823529</v>
      </c>
      <c r="M64" s="24">
        <v>41508.880276967997</v>
      </c>
      <c r="N64" s="24">
        <v>40.114109835496791</v>
      </c>
      <c r="O64" s="24">
        <v>54876.167538508795</v>
      </c>
      <c r="P64" s="24">
        <f t="shared" si="7"/>
        <v>9660.1014551519984</v>
      </c>
      <c r="Q64" s="24">
        <v>-931.62</v>
      </c>
      <c r="R64" s="23">
        <f t="shared" si="4"/>
        <v>6.166814834823529</v>
      </c>
    </row>
    <row r="65" spans="1:18" x14ac:dyDescent="0.3">
      <c r="A65" s="23" t="s">
        <v>544</v>
      </c>
      <c r="B65" s="24" t="s">
        <v>485</v>
      </c>
      <c r="C65" s="24">
        <v>168.85</v>
      </c>
      <c r="D65" s="24">
        <v>1110202.1977210001</v>
      </c>
      <c r="E65" s="24">
        <v>226463.40780903358</v>
      </c>
      <c r="F65" s="24">
        <v>13860.531178934398</v>
      </c>
      <c r="G65" s="24">
        <f t="shared" si="5"/>
        <v>212602.8766300992</v>
      </c>
      <c r="H65" s="24">
        <v>154178.36231601599</v>
      </c>
      <c r="I65" s="24">
        <v>111900.84190126559</v>
      </c>
      <c r="J65" s="24">
        <v>122023.509980904</v>
      </c>
      <c r="K65" s="24">
        <v>6581.1111110000002</v>
      </c>
      <c r="L65" s="24">
        <f t="shared" si="6"/>
        <v>18.541475432157309</v>
      </c>
      <c r="M65" s="24">
        <v>702875.55471302883</v>
      </c>
      <c r="N65" s="24">
        <v>135.57405740628408</v>
      </c>
      <c r="O65" s="24">
        <v>1494101.5661934</v>
      </c>
      <c r="P65" s="24">
        <f t="shared" si="7"/>
        <v>111900.84190126559</v>
      </c>
      <c r="Q65" s="24">
        <v>-7961.77</v>
      </c>
      <c r="R65" s="23">
        <f t="shared" si="4"/>
        <v>18.541475432157309</v>
      </c>
    </row>
  </sheetData>
  <autoFilter ref="A6:P65" xr:uid="{00000000-0001-0000-0000-000000000000}"/>
  <conditionalFormatting sqref="A6">
    <cfRule type="duplicateValues" dxfId="26" priority="1"/>
    <cfRule type="duplicateValues" dxfId="25" priority="2"/>
  </conditionalFormatting>
  <conditionalFormatting sqref="B1:B1048576">
    <cfRule type="duplicateValues" dxfId="24" priority="3"/>
    <cfRule type="duplicateValues" dxfId="23" priority="4"/>
  </conditionalFormatting>
  <pageMargins left="0.7" right="0.7" top="0.75" bottom="0.75" header="0.3" footer="0.3"/>
  <ignoredErrors>
    <ignoredError sqref="A9:A14 A16:A1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7"/>
  <sheetViews>
    <sheetView showGridLines="0" zoomScale="85" zoomScaleNormal="85" workbookViewId="0">
      <selection activeCell="I16" sqref="A16:I17"/>
    </sheetView>
  </sheetViews>
  <sheetFormatPr defaultRowHeight="14.4" x14ac:dyDescent="0.3"/>
  <cols>
    <col min="1" max="1" width="39.88671875" bestFit="1" customWidth="1"/>
    <col min="2" max="2" width="20.88671875" customWidth="1"/>
    <col min="3" max="3" width="21" customWidth="1"/>
    <col min="4" max="4" width="17.44140625" customWidth="1"/>
    <col min="5" max="5" width="22.77734375" customWidth="1"/>
    <col min="6" max="6" width="24.5546875" customWidth="1"/>
    <col min="7" max="7" width="18.6640625" customWidth="1"/>
    <col min="8" max="8" width="19.109375" customWidth="1"/>
    <col min="9" max="9" width="24.5546875" customWidth="1"/>
    <col min="10" max="10" width="16.109375" bestFit="1" customWidth="1"/>
    <col min="11" max="11" width="25.6640625" customWidth="1"/>
    <col min="12" max="12" width="22.33203125" bestFit="1" customWidth="1"/>
    <col min="13" max="13" width="19.33203125" bestFit="1" customWidth="1"/>
    <col min="14" max="14" width="16.5546875" bestFit="1" customWidth="1"/>
    <col min="15" max="15" width="17.88671875" bestFit="1" customWidth="1"/>
    <col min="16" max="16" width="18.21875" bestFit="1" customWidth="1"/>
  </cols>
  <sheetData>
    <row r="1" spans="1:16" ht="18" x14ac:dyDescent="0.35">
      <c r="B1" s="33" t="s">
        <v>743</v>
      </c>
      <c r="C1" s="33"/>
    </row>
    <row r="2" spans="1:16" ht="18" x14ac:dyDescent="0.35">
      <c r="B2" s="33" t="s">
        <v>744</v>
      </c>
      <c r="C2" s="33"/>
    </row>
    <row r="3" spans="1:16" ht="18" x14ac:dyDescent="0.35">
      <c r="B3" s="33" t="s">
        <v>731</v>
      </c>
      <c r="C3" s="33"/>
    </row>
    <row r="4" spans="1:16" ht="18" x14ac:dyDescent="0.35">
      <c r="B4" s="33" t="s">
        <v>732</v>
      </c>
      <c r="C4" s="33"/>
    </row>
    <row r="5" spans="1:16" ht="18" x14ac:dyDescent="0.35">
      <c r="B5" s="33"/>
      <c r="C5" s="33"/>
    </row>
    <row r="7" spans="1:16" x14ac:dyDescent="0.3">
      <c r="A7" s="6" t="s">
        <v>0</v>
      </c>
      <c r="B7" s="6" t="s">
        <v>17</v>
      </c>
      <c r="C7" s="6" t="s">
        <v>18</v>
      </c>
      <c r="D7" s="6" t="s">
        <v>19</v>
      </c>
      <c r="E7" s="6" t="s">
        <v>20</v>
      </c>
      <c r="F7" s="6" t="s">
        <v>21</v>
      </c>
      <c r="G7" s="6" t="s">
        <v>22</v>
      </c>
      <c r="H7" s="6" t="s">
        <v>23</v>
      </c>
      <c r="I7" s="6" t="s">
        <v>24</v>
      </c>
      <c r="J7" s="6" t="s">
        <v>25</v>
      </c>
      <c r="K7" s="6" t="s">
        <v>26</v>
      </c>
      <c r="L7" s="7" t="s">
        <v>559</v>
      </c>
      <c r="M7" s="6" t="s">
        <v>560</v>
      </c>
      <c r="N7" s="6" t="s">
        <v>561</v>
      </c>
      <c r="O7" s="7" t="s">
        <v>567</v>
      </c>
      <c r="P7" s="7" t="s">
        <v>568</v>
      </c>
    </row>
    <row r="8" spans="1:16" ht="28.8" x14ac:dyDescent="0.3">
      <c r="A8" s="8"/>
      <c r="B8" s="9" t="s">
        <v>569</v>
      </c>
      <c r="C8" s="9" t="s">
        <v>570</v>
      </c>
      <c r="D8" s="9" t="s">
        <v>571</v>
      </c>
      <c r="E8" s="9" t="s">
        <v>572</v>
      </c>
      <c r="F8" s="9" t="s">
        <v>573</v>
      </c>
      <c r="G8" s="9" t="s">
        <v>574</v>
      </c>
      <c r="H8" s="9" t="s">
        <v>575</v>
      </c>
      <c r="I8" s="9" t="s">
        <v>576</v>
      </c>
      <c r="J8" s="9" t="s">
        <v>577</v>
      </c>
      <c r="K8" s="9" t="s">
        <v>578</v>
      </c>
      <c r="L8" s="9" t="s">
        <v>562</v>
      </c>
      <c r="M8" s="9" t="s">
        <v>566</v>
      </c>
      <c r="N8" s="9" t="s">
        <v>563</v>
      </c>
      <c r="O8" s="9" t="s">
        <v>564</v>
      </c>
      <c r="P8" s="9" t="s">
        <v>565</v>
      </c>
    </row>
    <row r="9" spans="1:16" x14ac:dyDescent="0.3">
      <c r="A9" s="5" t="str">
        <f>'Raw Data'!B7</f>
        <v>Agni Green Power Limited</v>
      </c>
      <c r="B9" s="5">
        <f>('Raw Data'!D7+'Raw Data'!E7-'Raw Data'!F7)/'Raw Data'!H7</f>
        <v>18.870229876249567</v>
      </c>
      <c r="C9" s="5">
        <f>'Raw Data'!C7/'Raw Data'!L7</f>
        <v>71.116232249567375</v>
      </c>
      <c r="D9" s="5">
        <f>'Raw Data'!C7/'Raw Data'!N7</f>
        <v>1.4163723833870085</v>
      </c>
      <c r="E9" s="12">
        <f>'Raw Data'!J7/'Raw Data'!M7</f>
        <v>5.2522560708424863E-2</v>
      </c>
      <c r="F9" s="11">
        <f>'Raw Data'!I7/('Raw Data'!M7+'Raw Data'!E7)</f>
        <v>0.11353708357360484</v>
      </c>
      <c r="G9" s="5">
        <f>'Raw Data'!E7/'Raw Data'!M7</f>
        <v>0.82146539354868264</v>
      </c>
      <c r="H9" s="5">
        <f>'Raw Data'!I7/'Raw Data'!Q7</f>
        <v>-1.2603326700876181</v>
      </c>
      <c r="I9" s="11">
        <f>'Raw Data'!I7/'Raw Data'!O7</f>
        <v>6.0055236063165304E-2</v>
      </c>
      <c r="J9" s="11">
        <f>IFERROR('Raw Data'!J7/'Raw Data'!O7, "")</f>
        <v>1.5252397371140976E-2</v>
      </c>
      <c r="K9" s="11">
        <f>'Raw Data'!R7/'Raw Data'!C7</f>
        <v>1.4061487347792997E-2</v>
      </c>
      <c r="L9" s="5">
        <f t="shared" ref="L9:L40" si="0">AVERAGE(_xlfn.RANK.EQ(B9,$B$9:$B$67,1),
_xlfn.RANK.EQ(C9,$C$9:$C$67,1),
_xlfn.RANK.EQ(D9,$D$9:$D$67,1)
)</f>
        <v>37.333333333333336</v>
      </c>
      <c r="M9" s="5">
        <f>AVERAGE(
_xlfn.RANK.EQ(E9,$E$9:$E$67,0),
_xlfn.RANK.EQ(F9,$F$9:$F$67,0),
_xlfn.RANK.EQ(I9,$I$9:$I$67,0),
_xlfn.RANK.EQ(J9,$J$9:$J$67,0)
)</f>
        <v>40</v>
      </c>
      <c r="N9" s="5">
        <f t="shared" ref="N9:N40" si="1">AVERAGE(
_xlfn.RANK.EQ(G9,$G$9:$G$67,1),
_xlfn.RANK.EQ(H9,$H$9:$H$67,0)
)</f>
        <v>28</v>
      </c>
      <c r="O9" s="5">
        <f t="shared" ref="O9:O40" si="2">_xlfn.RANK.EQ(K9,$K$9:$K$67,0)</f>
        <v>39</v>
      </c>
      <c r="P9" s="5">
        <f>AVERAGE(L9,M9,N9,O9)</f>
        <v>36.083333333333336</v>
      </c>
    </row>
    <row r="10" spans="1:16" x14ac:dyDescent="0.3">
      <c r="A10" s="5" t="str">
        <f>'Raw Data'!B8</f>
        <v>KKV Agro Powers Limited</v>
      </c>
      <c r="B10" s="5">
        <f>('Raw Data'!D8+'Raw Data'!E8-'Raw Data'!F8)/'Raw Data'!H8</f>
        <v>4.0767498756498703</v>
      </c>
      <c r="C10" s="5">
        <f>'Raw Data'!C8/'Raw Data'!L8</f>
        <v>7.1692772820076502</v>
      </c>
      <c r="D10" s="5">
        <f>'Raw Data'!C8/'Raw Data'!N8</f>
        <v>1.4530879599966349</v>
      </c>
      <c r="E10" s="12">
        <f>'Raw Data'!J8/'Raw Data'!M8</f>
        <v>0.42174547701021392</v>
      </c>
      <c r="F10" s="11">
        <f>'Raw Data'!I8/('Raw Data'!M8+'Raw Data'!E8)</f>
        <v>0.44295465717076898</v>
      </c>
      <c r="G10" s="5">
        <f>'Raw Data'!E8/'Raw Data'!M8</f>
        <v>0.65580379169850112</v>
      </c>
      <c r="H10" s="5">
        <f>'Raw Data'!I8/'Raw Data'!Q8</f>
        <v>-11.8438372490813</v>
      </c>
      <c r="I10" s="11">
        <f>'Raw Data'!I8/'Raw Data'!O8</f>
        <v>1.0947466871879715E-2</v>
      </c>
      <c r="J10" s="11">
        <f>IFERROR('Raw Data'!J8/'Raw Data'!O8, "")</f>
        <v>6.2950028118055282E-3</v>
      </c>
      <c r="K10" s="11">
        <f>'Raw Data'!R8/'Raw Data'!C8</f>
        <v>0.13948407359130136</v>
      </c>
      <c r="L10" s="5">
        <f t="shared" si="0"/>
        <v>15.333333333333334</v>
      </c>
      <c r="M10" s="5">
        <f t="shared" ref="M10:M67" si="3">AVERAGE(
_xlfn.RANK.EQ(E10,$E$9:$E$67,0),
_xlfn.RANK.EQ(F10,$F$9:$F$67,0),
_xlfn.RANK.EQ(I10,$I$9:$I$67,0),
_xlfn.RANK.EQ(J10,$J$9:$J$67,0)
)</f>
        <v>29</v>
      </c>
      <c r="N10" s="5">
        <f t="shared" si="1"/>
        <v>39</v>
      </c>
      <c r="O10" s="5">
        <f t="shared" si="2"/>
        <v>4</v>
      </c>
      <c r="P10" s="5">
        <f t="shared" ref="P10:P67" si="4">AVERAGE(L10,M10,N10,O10)</f>
        <v>21.833333333333336</v>
      </c>
    </row>
    <row r="11" spans="1:16" x14ac:dyDescent="0.3">
      <c r="A11" s="5" t="str">
        <f>'Raw Data'!B9</f>
        <v>SRM Energy Limited</v>
      </c>
      <c r="B11" s="5">
        <f>('Raw Data'!D9+'Raw Data'!E9-'Raw Data'!F9)/'Raw Data'!H9</f>
        <v>-163.11270235219726</v>
      </c>
      <c r="C11" s="5">
        <f>'Raw Data'!C9/'Raw Data'!L9</f>
        <v>-42.394728446848639</v>
      </c>
      <c r="D11" s="5">
        <f>'Raw Data'!C9/'Raw Data'!N9</f>
        <v>-0.35827684871732102</v>
      </c>
      <c r="E11" s="12">
        <f>'Raw Data'!J9/'Raw Data'!M9</f>
        <v>6.9077406297093774E-3</v>
      </c>
      <c r="F11" s="11">
        <f>'Raw Data'!I9/('Raw Data'!M9+'Raw Data'!E9)</f>
        <v>4.0423079347640091E-2</v>
      </c>
      <c r="G11" s="5">
        <f>'Raw Data'!E9/'Raw Data'!M9</f>
        <v>-0.82915581033791741</v>
      </c>
      <c r="H11" s="5">
        <f>'Raw Data'!I9/'Raw Data'!Q9</f>
        <v>3740.583333333333</v>
      </c>
      <c r="I11" s="11">
        <f>'Raw Data'!I9/'Raw Data'!O9</f>
        <v>-403.53053903999995</v>
      </c>
      <c r="J11" s="11">
        <f>IFERROR('Raw Data'!J9/'Raw Data'!O9, "")</f>
        <v>-403.62942815999997</v>
      </c>
      <c r="K11" s="11">
        <f>'Raw Data'!R9/'Raw Data'!C9</f>
        <v>-2.3587838314702871E-2</v>
      </c>
      <c r="L11" s="5">
        <f t="shared" si="0"/>
        <v>3</v>
      </c>
      <c r="M11" s="5">
        <f t="shared" si="3"/>
        <v>51.5</v>
      </c>
      <c r="N11" s="5">
        <f t="shared" si="1"/>
        <v>5.5</v>
      </c>
      <c r="O11" s="5">
        <f t="shared" si="2"/>
        <v>53</v>
      </c>
      <c r="P11" s="5">
        <f t="shared" si="4"/>
        <v>28.25</v>
      </c>
    </row>
    <row r="12" spans="1:16" x14ac:dyDescent="0.3">
      <c r="A12" s="5" t="str">
        <f>'Raw Data'!B10</f>
        <v>Gita Renewable Energy Limited</v>
      </c>
      <c r="B12" s="5">
        <f>('Raw Data'!D10+'Raw Data'!E10-'Raw Data'!F10)/'Raw Data'!H10</f>
        <v>3864.1414286079998</v>
      </c>
      <c r="C12" s="5">
        <f>'Raw Data'!C10/'Raw Data'!L10</f>
        <v>-135.35335290438559</v>
      </c>
      <c r="D12" s="5">
        <f>'Raw Data'!C10/'Raw Data'!N10</f>
        <v>2.8881470228739272</v>
      </c>
      <c r="E12" s="12">
        <f>'Raw Data'!J10/'Raw Data'!M10</f>
        <v>-3.1263911792577495E-2</v>
      </c>
      <c r="F12" s="11">
        <f>'Raw Data'!I10/('Raw Data'!M10+'Raw Data'!E10)</f>
        <v>-4.5098577140795626E-2</v>
      </c>
      <c r="G12" s="5">
        <f>'Raw Data'!E10/'Raw Data'!M10</f>
        <v>0</v>
      </c>
      <c r="H12" s="5">
        <f>'Raw Data'!I10/'Raw Data'!Q10</f>
        <v>37.150662251655625</v>
      </c>
      <c r="I12" s="11">
        <f>'Raw Data'!I10/'Raw Data'!O10</f>
        <v>-28.4758883248731</v>
      </c>
      <c r="J12" s="11">
        <f>IFERROR('Raw Data'!J10/'Raw Data'!O10, "")</f>
        <v>-19.74048223350254</v>
      </c>
      <c r="K12" s="11">
        <f>'Raw Data'!R10/'Raw Data'!C10</f>
        <v>-7.3880696602056546E-3</v>
      </c>
      <c r="L12" s="5">
        <f t="shared" si="0"/>
        <v>33</v>
      </c>
      <c r="M12" s="5">
        <f t="shared" si="3"/>
        <v>53.5</v>
      </c>
      <c r="N12" s="5">
        <f t="shared" si="1"/>
        <v>10.5</v>
      </c>
      <c r="O12" s="5">
        <f t="shared" si="2"/>
        <v>50</v>
      </c>
      <c r="P12" s="5">
        <f t="shared" si="4"/>
        <v>36.75</v>
      </c>
    </row>
    <row r="13" spans="1:16" x14ac:dyDescent="0.3">
      <c r="A13" s="5" t="str">
        <f>'Raw Data'!B11</f>
        <v>Skyline Ventures India Limited</v>
      </c>
      <c r="B13" s="5">
        <f>('Raw Data'!D11+'Raw Data'!E11-'Raw Data'!F11)/'Raw Data'!H11</f>
        <v>-25.314773710401447</v>
      </c>
      <c r="C13" s="5">
        <f>'Raw Data'!C11/'Raw Data'!L11</f>
        <v>-22.120368325759319</v>
      </c>
      <c r="D13" s="5">
        <f>'Raw Data'!C11/'Raw Data'!N11</f>
        <v>3.7686781911125604</v>
      </c>
      <c r="E13" s="12">
        <f>'Raw Data'!J11/'Raw Data'!M11</f>
        <v>-25.178525641025644</v>
      </c>
      <c r="F13" s="11">
        <f>'Raw Data'!I11/('Raw Data'!M11+'Raw Data'!E11)</f>
        <v>-0.58696804737262631</v>
      </c>
      <c r="G13" s="5">
        <f>'Raw Data'!E11/'Raw Data'!M11</f>
        <v>41.922115384615395</v>
      </c>
      <c r="H13" s="5">
        <f>'Raw Data'!I11/'Raw Data'!Q11</f>
        <v>6550.4166666666661</v>
      </c>
      <c r="I13" s="11">
        <f>'Raw Data'!I11/'Raw Data'!O11</f>
        <v>-706.65266159999987</v>
      </c>
      <c r="J13" s="11">
        <f>IFERROR('Raw Data'!J11/'Raw Data'!O11, "")</f>
        <v>-706.22114543999987</v>
      </c>
      <c r="K13" s="11">
        <f>'Raw Data'!R11/'Raw Data'!C11</f>
        <v>-4.5207203843685241E-2</v>
      </c>
      <c r="L13" s="5">
        <f t="shared" si="0"/>
        <v>19.333333333333332</v>
      </c>
      <c r="M13" s="5">
        <f t="shared" si="3"/>
        <v>59</v>
      </c>
      <c r="N13" s="5">
        <f t="shared" si="1"/>
        <v>30</v>
      </c>
      <c r="O13" s="5">
        <f t="shared" si="2"/>
        <v>54</v>
      </c>
      <c r="P13" s="5">
        <f t="shared" si="4"/>
        <v>40.583333333333329</v>
      </c>
    </row>
    <row r="14" spans="1:16" x14ac:dyDescent="0.3">
      <c r="A14" s="5" t="str">
        <f>'Raw Data'!B12</f>
        <v>Waa Solar Limited</v>
      </c>
      <c r="B14" s="5">
        <f>('Raw Data'!D12+'Raw Data'!E12-'Raw Data'!F12)/'Raw Data'!H12</f>
        <v>16.115716596763512</v>
      </c>
      <c r="C14" s="5">
        <f>'Raw Data'!C12/'Raw Data'!L12</f>
        <v>33.850152210771185</v>
      </c>
      <c r="D14" s="5">
        <f>'Raw Data'!C12/'Raw Data'!N12</f>
        <v>0.31066989153323904</v>
      </c>
      <c r="E14" s="12">
        <f>'Raw Data'!J12/'Raw Data'!M12</f>
        <v>2.0817615931677906E-2</v>
      </c>
      <c r="F14" s="11">
        <f>'Raw Data'!I12/('Raw Data'!M12+'Raw Data'!E12)</f>
        <v>3.3715969416387333E-3</v>
      </c>
      <c r="G14" s="5">
        <f>'Raw Data'!E12/'Raw Data'!M12</f>
        <v>0.78235414031101247</v>
      </c>
      <c r="H14" s="5">
        <f>'Raw Data'!I12/'Raw Data'!Q12</f>
        <v>-0.25079054259668437</v>
      </c>
      <c r="I14" s="11">
        <f>'Raw Data'!I12/'Raw Data'!O12</f>
        <v>2.7328877922841881E-2</v>
      </c>
      <c r="J14" s="11">
        <f>IFERROR('Raw Data'!J12/'Raw Data'!O12, "")</f>
        <v>9.467234662619442E-2</v>
      </c>
      <c r="K14" s="11">
        <f>'Raw Data'!R12/'Raw Data'!C12</f>
        <v>2.9541964649771883E-2</v>
      </c>
      <c r="L14" s="5">
        <f t="shared" si="0"/>
        <v>29.333333333333332</v>
      </c>
      <c r="M14" s="5">
        <f t="shared" si="3"/>
        <v>41</v>
      </c>
      <c r="N14" s="5">
        <f t="shared" si="1"/>
        <v>25.5</v>
      </c>
      <c r="O14" s="5">
        <f t="shared" si="2"/>
        <v>34</v>
      </c>
      <c r="P14" s="5">
        <f t="shared" si="4"/>
        <v>32.458333333333329</v>
      </c>
    </row>
    <row r="15" spans="1:16" x14ac:dyDescent="0.3">
      <c r="A15" s="5" t="str">
        <f>'Raw Data'!B13</f>
        <v>Karma Energy Limited</v>
      </c>
      <c r="B15" s="5">
        <f>('Raw Data'!D13+'Raw Data'!E13-'Raw Data'!F13)/'Raw Data'!H13</f>
        <v>-2555.1064662723434</v>
      </c>
      <c r="C15" s="5">
        <f>'Raw Data'!C13/'Raw Data'!L13</f>
        <v>112.3564858827455</v>
      </c>
      <c r="D15" s="5">
        <f>'Raw Data'!C13/'Raw Data'!N13</f>
        <v>1.511170153617349</v>
      </c>
      <c r="E15" s="12">
        <f>'Raw Data'!J13/'Raw Data'!M13</f>
        <v>1.8545855838379893E-2</v>
      </c>
      <c r="F15" s="11">
        <f>'Raw Data'!I13/('Raw Data'!M13+'Raw Data'!E13)</f>
        <v>-5.7219325905117267E-2</v>
      </c>
      <c r="G15" s="5">
        <f>'Raw Data'!E13/'Raw Data'!M13</f>
        <v>5.759918238573461E-2</v>
      </c>
      <c r="H15" s="5">
        <f>'Raw Data'!I13/'Raw Data'!Q13</f>
        <v>10.661307887776797</v>
      </c>
      <c r="I15" s="11">
        <f>'Raw Data'!I13/'Raw Data'!O13</f>
        <v>-0.1908557603844929</v>
      </c>
      <c r="J15" s="11">
        <f>IFERROR('Raw Data'!J13/'Raw Data'!O13, "")</f>
        <v>5.8490900600561301E-2</v>
      </c>
      <c r="K15" s="11">
        <f>'Raw Data'!R13/'Raw Data'!C13</f>
        <v>8.9002427598491602E-3</v>
      </c>
      <c r="L15" s="5">
        <f t="shared" si="0"/>
        <v>25.333333333333332</v>
      </c>
      <c r="M15" s="5">
        <f t="shared" si="3"/>
        <v>47.25</v>
      </c>
      <c r="N15" s="5">
        <f t="shared" si="1"/>
        <v>16</v>
      </c>
      <c r="O15" s="5">
        <f t="shared" si="2"/>
        <v>44</v>
      </c>
      <c r="P15" s="5">
        <f t="shared" si="4"/>
        <v>33.145833333333329</v>
      </c>
    </row>
    <row r="16" spans="1:16" x14ac:dyDescent="0.3">
      <c r="A16" s="5" t="str">
        <f>'Raw Data'!B14</f>
        <v>Energy Development Company Limited</v>
      </c>
      <c r="B16" s="5">
        <f>('Raw Data'!D14+'Raw Data'!E14-'Raw Data'!F14)/'Raw Data'!H14</f>
        <v>9.5626730394999697</v>
      </c>
      <c r="C16" s="5">
        <f>'Raw Data'!C14/'Raw Data'!L14</f>
        <v>-1.0383326627963736</v>
      </c>
      <c r="D16" s="5">
        <f>'Raw Data'!C14/'Raw Data'!N14</f>
        <v>5.8571447626555502</v>
      </c>
      <c r="E16" s="12">
        <f>'Raw Data'!J14/'Raw Data'!M14</f>
        <v>0.73194078264931672</v>
      </c>
      <c r="F16" s="11">
        <f>'Raw Data'!I14/('Raw Data'!M14+'Raw Data'!E14)</f>
        <v>0.68159652548362615</v>
      </c>
      <c r="G16" s="5">
        <f>'Raw Data'!E14/'Raw Data'!M14</f>
        <v>-1.1504968785287237</v>
      </c>
      <c r="H16" s="5">
        <f>'Raw Data'!I14/'Raw Data'!Q14</f>
        <v>-1.3605596859218383</v>
      </c>
      <c r="I16" s="11">
        <f>'Raw Data'!I14/'Raw Data'!O14</f>
        <v>0.30526866676149816</v>
      </c>
      <c r="J16" s="11">
        <f>IFERROR('Raw Data'!J14/'Raw Data'!O14, "")</f>
        <v>-2.1782278970130209</v>
      </c>
      <c r="K16" s="11">
        <f>'Raw Data'!R14/'Raw Data'!C14</f>
        <v>-0.9630824838995834</v>
      </c>
      <c r="L16" s="5">
        <f t="shared" si="0"/>
        <v>28.333333333333332</v>
      </c>
      <c r="M16" s="5">
        <f t="shared" si="3"/>
        <v>18.5</v>
      </c>
      <c r="N16" s="5">
        <f t="shared" si="1"/>
        <v>12.5</v>
      </c>
      <c r="O16" s="5">
        <f t="shared" si="2"/>
        <v>59</v>
      </c>
      <c r="P16" s="5">
        <f t="shared" si="4"/>
        <v>29.583333333333332</v>
      </c>
    </row>
    <row r="17" spans="1:16" x14ac:dyDescent="0.3">
      <c r="A17" s="5" t="str">
        <f>'Raw Data'!B15</f>
        <v>Indowind Energy Limited</v>
      </c>
      <c r="B17" s="5">
        <f>('Raw Data'!D15+'Raw Data'!E15-'Raw Data'!F15)/'Raw Data'!H15</f>
        <v>12.950761024243167</v>
      </c>
      <c r="C17" s="5">
        <f>'Raw Data'!C15/'Raw Data'!L15</f>
        <v>93.191705635173392</v>
      </c>
      <c r="D17" s="5">
        <f>'Raw Data'!C15/'Raw Data'!N15</f>
        <v>0.64552902670320866</v>
      </c>
      <c r="E17" s="12">
        <f>'Raw Data'!J15/'Raw Data'!M15</f>
        <v>-0.19500818645526485</v>
      </c>
      <c r="F17" s="11">
        <f>'Raw Data'!I15/('Raw Data'!M15+'Raw Data'!E15)</f>
        <v>1.0068013081088527</v>
      </c>
      <c r="G17" s="5">
        <f>'Raw Data'!E15/'Raw Data'!M15</f>
        <v>-1.7747911404361911</v>
      </c>
      <c r="H17" s="5">
        <f>'Raw Data'!I15/'Raw Data'!Q15</f>
        <v>-2.2453940776322616</v>
      </c>
      <c r="I17" s="11">
        <f>'Raw Data'!I15/'Raw Data'!O15</f>
        <v>0.20083741177879971</v>
      </c>
      <c r="J17" s="11">
        <f>IFERROR('Raw Data'!J15/'Raw Data'!O15, "")</f>
        <v>5.0207551478035836E-2</v>
      </c>
      <c r="K17" s="11">
        <f>'Raw Data'!R15/'Raw Data'!C15</f>
        <v>1.0730568704416646E-2</v>
      </c>
      <c r="L17" s="5">
        <f t="shared" si="0"/>
        <v>31.666666666666668</v>
      </c>
      <c r="M17" s="5">
        <f t="shared" si="3"/>
        <v>29</v>
      </c>
      <c r="N17" s="5">
        <f t="shared" si="1"/>
        <v>16</v>
      </c>
      <c r="O17" s="5">
        <f t="shared" si="2"/>
        <v>42</v>
      </c>
      <c r="P17" s="5">
        <f t="shared" si="4"/>
        <v>29.666666666666668</v>
      </c>
    </row>
    <row r="18" spans="1:16" x14ac:dyDescent="0.3">
      <c r="A18" s="5" t="str">
        <f>'Raw Data'!B16</f>
        <v>EKI Energy Services Limited</v>
      </c>
      <c r="B18" s="5">
        <f>('Raw Data'!D16+'Raw Data'!E16-'Raw Data'!F16)/'Raw Data'!H16</f>
        <v>-22.65543364133692</v>
      </c>
      <c r="C18" s="5">
        <f>'Raw Data'!C16/'Raw Data'!L16</f>
        <v>-17.907426972049802</v>
      </c>
      <c r="D18" s="5">
        <f>'Raw Data'!C16/'Raw Data'!N16</f>
        <v>0.42109688537875711</v>
      </c>
      <c r="E18" s="12">
        <f>'Raw Data'!J16/'Raw Data'!M16</f>
        <v>-2.5001334021706536E-2</v>
      </c>
      <c r="F18" s="11">
        <f>'Raw Data'!I16/('Raw Data'!M16+'Raw Data'!E16)</f>
        <v>-7.6650218866030698E-2</v>
      </c>
      <c r="G18" s="5">
        <f>'Raw Data'!E16/'Raw Data'!M16</f>
        <v>2.2123160712969928E-3</v>
      </c>
      <c r="H18" s="5">
        <f>'Raw Data'!I16/'Raw Data'!Q16</f>
        <v>150.21603071754259</v>
      </c>
      <c r="I18" s="11">
        <f>'Raw Data'!I16/'Raw Data'!O16</f>
        <v>-0.20589485041009556</v>
      </c>
      <c r="J18" s="11">
        <f>IFERROR('Raw Data'!J16/'Raw Data'!O16, "")</f>
        <v>-6.7009369618883319E-2</v>
      </c>
      <c r="K18" s="11">
        <f>'Raw Data'!R16/'Raw Data'!C16</f>
        <v>-5.584275181246396E-2</v>
      </c>
      <c r="L18" s="5">
        <f t="shared" si="0"/>
        <v>5.666666666666667</v>
      </c>
      <c r="M18" s="5">
        <f t="shared" si="3"/>
        <v>51.5</v>
      </c>
      <c r="N18" s="5">
        <f t="shared" si="1"/>
        <v>10</v>
      </c>
      <c r="O18" s="5">
        <f t="shared" si="2"/>
        <v>55</v>
      </c>
      <c r="P18" s="5">
        <f t="shared" si="4"/>
        <v>30.541666666666664</v>
      </c>
    </row>
    <row r="19" spans="1:16" x14ac:dyDescent="0.3">
      <c r="A19" s="5" t="str">
        <f>'Raw Data'!B17</f>
        <v>Madhav Infra Projects Limited</v>
      </c>
      <c r="B19" s="5">
        <f>('Raw Data'!D17+'Raw Data'!E17-'Raw Data'!F17)/'Raw Data'!H17</f>
        <v>5.8003828701349818</v>
      </c>
      <c r="C19" s="5">
        <f>'Raw Data'!C17/'Raw Data'!L17</f>
        <v>8.3031507495372168</v>
      </c>
      <c r="D19" s="5">
        <f>'Raw Data'!C17/'Raw Data'!N17</f>
        <v>1.2452114783191326</v>
      </c>
      <c r="E19" s="12">
        <f>'Raw Data'!J17/'Raw Data'!M17</f>
        <v>0.24209029512441052</v>
      </c>
      <c r="F19" s="11">
        <f>'Raw Data'!I17/('Raw Data'!M17+'Raw Data'!E17)</f>
        <v>0.17257667518555467</v>
      </c>
      <c r="G19" s="5">
        <f>'Raw Data'!E17/'Raw Data'!M17</f>
        <v>1.3149924354740199</v>
      </c>
      <c r="H19" s="5">
        <f>'Raw Data'!I17/'Raw Data'!Q17</f>
        <v>-2.8690992027331825</v>
      </c>
      <c r="I19" s="11">
        <f>'Raw Data'!I17/'Raw Data'!O17</f>
        <v>8.8566796178930096E-2</v>
      </c>
      <c r="J19" s="11">
        <f>IFERROR('Raw Data'!J17/'Raw Data'!O17, "")</f>
        <v>5.3668151941513267E-2</v>
      </c>
      <c r="K19" s="11">
        <f>'Raw Data'!R17/'Raw Data'!C17</f>
        <v>0.12043620911685071</v>
      </c>
      <c r="L19" s="5">
        <f t="shared" si="0"/>
        <v>14.666666666666666</v>
      </c>
      <c r="M19" s="5">
        <f t="shared" si="3"/>
        <v>28.5</v>
      </c>
      <c r="N19" s="5">
        <f t="shared" si="1"/>
        <v>37</v>
      </c>
      <c r="O19" s="5">
        <f t="shared" si="2"/>
        <v>5</v>
      </c>
      <c r="P19" s="5">
        <f t="shared" si="4"/>
        <v>21.291666666666664</v>
      </c>
    </row>
    <row r="20" spans="1:16" x14ac:dyDescent="0.3">
      <c r="A20" s="5" t="str">
        <f>'Raw Data'!B18</f>
        <v>India Power Corporation Limited</v>
      </c>
      <c r="B20" s="5">
        <f>('Raw Data'!D18+'Raw Data'!E18-'Raw Data'!F18)/'Raw Data'!H18</f>
        <v>465.61414749768738</v>
      </c>
      <c r="C20" s="5">
        <f>'Raw Data'!C18/'Raw Data'!L18</f>
        <v>137.40559276073699</v>
      </c>
      <c r="D20" s="5">
        <f>'Raw Data'!C18/'Raw Data'!N18</f>
        <v>1.086497589902863</v>
      </c>
      <c r="E20" s="12">
        <f>'Raw Data'!J18/'Raw Data'!M18</f>
        <v>7.0645928960232128E-3</v>
      </c>
      <c r="F20" s="11">
        <f>'Raw Data'!I18/('Raw Data'!M18+'Raw Data'!E18)</f>
        <v>-3.0825758481126626E-2</v>
      </c>
      <c r="G20" s="5">
        <f>'Raw Data'!E18/'Raw Data'!M18</f>
        <v>0.15826079943903765</v>
      </c>
      <c r="H20" s="5">
        <f>'Raw Data'!I18/'Raw Data'!Q18</f>
        <v>1.4855891662554719</v>
      </c>
      <c r="I20" s="11">
        <f>'Raw Data'!I18/'Raw Data'!O18</f>
        <v>-5.7615490966774451E-2</v>
      </c>
      <c r="J20" s="11">
        <f>IFERROR('Raw Data'!J18/'Raw Data'!O18, "")</f>
        <v>1.1400037442072825E-2</v>
      </c>
      <c r="K20" s="11">
        <f>'Raw Data'!R18/'Raw Data'!C18</f>
        <v>7.2777241443242437E-3</v>
      </c>
      <c r="L20" s="5">
        <f t="shared" si="0"/>
        <v>42</v>
      </c>
      <c r="M20" s="5">
        <f t="shared" si="3"/>
        <v>48</v>
      </c>
      <c r="N20" s="5">
        <f t="shared" si="1"/>
        <v>20</v>
      </c>
      <c r="O20" s="5">
        <f t="shared" si="2"/>
        <v>47</v>
      </c>
      <c r="P20" s="5">
        <f t="shared" si="4"/>
        <v>39.25</v>
      </c>
    </row>
    <row r="21" spans="1:16" x14ac:dyDescent="0.3">
      <c r="A21" s="5" t="str">
        <f>'Raw Data'!B19</f>
        <v>Jyoti Structures Limited</v>
      </c>
      <c r="B21" s="5">
        <f>('Raw Data'!D19+'Raw Data'!E19-'Raw Data'!F19)/'Raw Data'!H19</f>
        <v>74.352676322400697</v>
      </c>
      <c r="C21" s="5">
        <f>'Raw Data'!C19/'Raw Data'!L19</f>
        <v>28.794467889506389</v>
      </c>
      <c r="D21" s="5">
        <f>'Raw Data'!C19/'Raw Data'!N19</f>
        <v>2.5129841851626455</v>
      </c>
      <c r="E21" s="12">
        <f>'Raw Data'!J19/'Raw Data'!M19</f>
        <v>-1.9357059767531284E-2</v>
      </c>
      <c r="F21" s="11">
        <f>'Raw Data'!I19/('Raw Data'!M19+'Raw Data'!E19)</f>
        <v>-8.6063946278054373E-2</v>
      </c>
      <c r="G21" s="5">
        <f>'Raw Data'!E19/'Raw Data'!M19</f>
        <v>-0.85487566398522852</v>
      </c>
      <c r="H21" s="5">
        <f>'Raw Data'!I19/'Raw Data'!Q19</f>
        <v>-220.07373240399073</v>
      </c>
      <c r="I21" s="11">
        <f>'Raw Data'!I19/'Raw Data'!O19</f>
        <v>4.6994081320261283E-2</v>
      </c>
      <c r="J21" s="11">
        <f>IFERROR('Raw Data'!J19/'Raw Data'!O19, "")</f>
        <v>7.2831801684611744E-2</v>
      </c>
      <c r="K21" s="11">
        <f>'Raw Data'!R19/'Raw Data'!C19</f>
        <v>3.4728893197030791E-2</v>
      </c>
      <c r="L21" s="5">
        <f t="shared" si="0"/>
        <v>43.666666666666664</v>
      </c>
      <c r="M21" s="5">
        <f t="shared" si="3"/>
        <v>44.75</v>
      </c>
      <c r="N21" s="5">
        <f t="shared" si="1"/>
        <v>31.5</v>
      </c>
      <c r="O21" s="5">
        <f t="shared" si="2"/>
        <v>32</v>
      </c>
      <c r="P21" s="5">
        <f t="shared" si="4"/>
        <v>37.979166666666664</v>
      </c>
    </row>
    <row r="22" spans="1:16" x14ac:dyDescent="0.3">
      <c r="A22" s="5" t="str">
        <f>'Raw Data'!B20</f>
        <v>Texmaco Infrastructure &amp; Holdings Limited</v>
      </c>
      <c r="B22" s="5">
        <f>('Raw Data'!D20+'Raw Data'!E20-'Raw Data'!F20)/'Raw Data'!H20</f>
        <v>-636.0639313365549</v>
      </c>
      <c r="C22" s="5">
        <f>'Raw Data'!C20/'Raw Data'!L20</f>
        <v>220.35427128413471</v>
      </c>
      <c r="D22" s="5">
        <f>'Raw Data'!C20/'Raw Data'!N20</f>
        <v>0.8312481962586783</v>
      </c>
      <c r="E22" s="12">
        <f>'Raw Data'!J20/'Raw Data'!M20</f>
        <v>1.2398546144593557E-2</v>
      </c>
      <c r="F22" s="11">
        <f>'Raw Data'!I20/('Raw Data'!M20+'Raw Data'!E20)</f>
        <v>-9.8267940374742405E-3</v>
      </c>
      <c r="G22" s="5">
        <f>'Raw Data'!E20/'Raw Data'!M20</f>
        <v>7.3042332147785605E-2</v>
      </c>
      <c r="H22" s="5">
        <f>'Raw Data'!I20/'Raw Data'!Q20</f>
        <v>1.8197874485562702</v>
      </c>
      <c r="I22" s="11">
        <f>'Raw Data'!I20/'Raw Data'!O20</f>
        <v>-1.939289901630094</v>
      </c>
      <c r="J22" s="11">
        <f>IFERROR('Raw Data'!J20/'Raw Data'!O20, "")</f>
        <v>2.2802622082758619</v>
      </c>
      <c r="K22" s="11">
        <f>'Raw Data'!R20/'Raw Data'!C20</f>
        <v>4.5381466588889259E-3</v>
      </c>
      <c r="L22" s="5">
        <f t="shared" si="0"/>
        <v>23.333333333333332</v>
      </c>
      <c r="M22" s="5">
        <f t="shared" si="3"/>
        <v>37.5</v>
      </c>
      <c r="N22" s="5">
        <f t="shared" si="1"/>
        <v>18</v>
      </c>
      <c r="O22" s="5">
        <f t="shared" si="2"/>
        <v>48</v>
      </c>
      <c r="P22" s="5">
        <f t="shared" si="4"/>
        <v>31.708333333333332</v>
      </c>
    </row>
    <row r="23" spans="1:16" x14ac:dyDescent="0.3">
      <c r="A23" s="5" t="str">
        <f>'Raw Data'!B21</f>
        <v>Orient Green Power Company Limited</v>
      </c>
      <c r="B23" s="5">
        <f>('Raw Data'!D21+'Raw Data'!E21-'Raw Data'!F21)/'Raw Data'!H21</f>
        <v>9.9137991730736488</v>
      </c>
      <c r="C23" s="5">
        <f>'Raw Data'!C21/'Raw Data'!L21</f>
        <v>23.219943939838192</v>
      </c>
      <c r="D23" s="5">
        <f>'Raw Data'!C21/'Raw Data'!N21</f>
        <v>1.2189949106192446</v>
      </c>
      <c r="E23" s="12">
        <f>'Raw Data'!J21/'Raw Data'!M21</f>
        <v>-5.101289443474654E-2</v>
      </c>
      <c r="F23" s="11">
        <f>'Raw Data'!I21/('Raw Data'!M21+'Raw Data'!E21)</f>
        <v>-0.19430763277218599</v>
      </c>
      <c r="G23" s="5">
        <f>'Raw Data'!E21/'Raw Data'!M21</f>
        <v>-0.50635160290213699</v>
      </c>
      <c r="H23" s="5">
        <f>'Raw Data'!I21/'Raw Data'!Q21</f>
        <v>-1.5353683835214054</v>
      </c>
      <c r="I23" s="11">
        <f>'Raw Data'!I21/'Raw Data'!O21</f>
        <v>0.36293624077393943</v>
      </c>
      <c r="J23" s="11">
        <f>IFERROR('Raw Data'!J21/'Raw Data'!O21, "")</f>
        <v>0.19302017735650992</v>
      </c>
      <c r="K23" s="11">
        <f>'Raw Data'!R21/'Raw Data'!C21</f>
        <v>4.3066426111576933E-2</v>
      </c>
      <c r="L23" s="5">
        <f t="shared" si="0"/>
        <v>25.333333333333332</v>
      </c>
      <c r="M23" s="5">
        <f t="shared" si="3"/>
        <v>31.5</v>
      </c>
      <c r="N23" s="5">
        <f t="shared" si="1"/>
        <v>15.5</v>
      </c>
      <c r="O23" s="5">
        <f t="shared" si="2"/>
        <v>28</v>
      </c>
      <c r="P23" s="5">
        <f t="shared" si="4"/>
        <v>25.083333333333332</v>
      </c>
    </row>
    <row r="24" spans="1:16" x14ac:dyDescent="0.3">
      <c r="A24" s="5" t="str">
        <f>'Raw Data'!B22</f>
        <v>Gujarat Industries Power Company Limited</v>
      </c>
      <c r="B24" s="5">
        <f>('Raw Data'!D22+'Raw Data'!E22-'Raw Data'!F22)/'Raw Data'!H22</f>
        <v>11.30258521554604</v>
      </c>
      <c r="C24" s="5">
        <f>'Raw Data'!C22/'Raw Data'!L22</f>
        <v>11.935321453341306</v>
      </c>
      <c r="D24" s="5">
        <f>'Raw Data'!C22/'Raw Data'!N22</f>
        <v>0.63352477119011941</v>
      </c>
      <c r="E24" s="12">
        <f>'Raw Data'!J22/'Raw Data'!M22</f>
        <v>6.3547997405971668E-2</v>
      </c>
      <c r="F24" s="11">
        <f>'Raw Data'!I22/('Raw Data'!M22+'Raw Data'!E22)</f>
        <v>4.0667921373540743E-2</v>
      </c>
      <c r="G24" s="5">
        <f>'Raw Data'!E22/'Raw Data'!M22</f>
        <v>0.94897524460440674</v>
      </c>
      <c r="H24" s="5">
        <f>'Raw Data'!I22/'Raw Data'!Q22</f>
        <v>-5.8850240831691156</v>
      </c>
      <c r="I24" s="11">
        <f>'Raw Data'!I22/'Raw Data'!O22</f>
        <v>0.173003224804367</v>
      </c>
      <c r="J24" s="11">
        <f>IFERROR('Raw Data'!J22/'Raw Data'!O22, "")</f>
        <v>0.13870680543187502</v>
      </c>
      <c r="K24" s="11">
        <f>'Raw Data'!R22/'Raw Data'!C22</f>
        <v>8.3784923925953325E-2</v>
      </c>
      <c r="L24" s="5">
        <f t="shared" si="0"/>
        <v>18.333333333333332</v>
      </c>
      <c r="M24" s="5">
        <f t="shared" si="3"/>
        <v>30.5</v>
      </c>
      <c r="N24" s="5">
        <f t="shared" si="1"/>
        <v>39.5</v>
      </c>
      <c r="O24" s="5">
        <f t="shared" si="2"/>
        <v>11</v>
      </c>
      <c r="P24" s="5">
        <f t="shared" si="4"/>
        <v>24.833333333333332</v>
      </c>
    </row>
    <row r="25" spans="1:16" x14ac:dyDescent="0.3">
      <c r="A25" s="5" t="str">
        <f>'Raw Data'!B23</f>
        <v>SG Mart Limited</v>
      </c>
      <c r="B25" s="5">
        <f>('Raw Data'!D23+'Raw Data'!E23-'Raw Data'!F23)/'Raw Data'!H23</f>
        <v>31.718831435689896</v>
      </c>
      <c r="C25" s="5">
        <f>'Raw Data'!C23/'Raw Data'!L23</f>
        <v>34.26788387849988</v>
      </c>
      <c r="D25" s="5">
        <f>'Raw Data'!C23/'Raw Data'!N23</f>
        <v>2.9336815478739968</v>
      </c>
      <c r="E25" s="12">
        <f>'Raw Data'!J23/'Raw Data'!M23</f>
        <v>1.5162952356153989</v>
      </c>
      <c r="F25" s="11">
        <f>'Raw Data'!I23/('Raw Data'!M23+'Raw Data'!E23)</f>
        <v>0.12783449808507064</v>
      </c>
      <c r="G25" s="5">
        <f>'Raw Data'!E23/'Raw Data'!M23</f>
        <v>10.583866467427876</v>
      </c>
      <c r="H25" s="5">
        <f>'Raw Data'!I23/'Raw Data'!Q23</f>
        <v>-2.3014355668894053</v>
      </c>
      <c r="I25" s="11">
        <f>'Raw Data'!I23/'Raw Data'!O23</f>
        <v>1.7248475154224681E-2</v>
      </c>
      <c r="J25" s="11">
        <f>IFERROR('Raw Data'!J23/'Raw Data'!O23, "")</f>
        <v>1.7661714681944999E-2</v>
      </c>
      <c r="K25" s="11">
        <f>'Raw Data'!R23/'Raw Data'!C23</f>
        <v>2.9181842787421523E-2</v>
      </c>
      <c r="L25" s="5">
        <f t="shared" si="0"/>
        <v>45.333333333333336</v>
      </c>
      <c r="M25" s="5">
        <f t="shared" si="3"/>
        <v>30</v>
      </c>
      <c r="N25" s="5">
        <f t="shared" si="1"/>
        <v>42.5</v>
      </c>
      <c r="O25" s="5">
        <f t="shared" si="2"/>
        <v>35</v>
      </c>
      <c r="P25" s="5">
        <f t="shared" si="4"/>
        <v>38.208333333333336</v>
      </c>
    </row>
    <row r="26" spans="1:16" x14ac:dyDescent="0.3">
      <c r="A26" s="5" t="str">
        <f>'Raw Data'!B24</f>
        <v>Pace Digitek Limited</v>
      </c>
      <c r="B26" s="5">
        <f>('Raw Data'!D24+'Raw Data'!E24-'Raw Data'!F24)/'Raw Data'!H24</f>
        <v>11.405447881693645</v>
      </c>
      <c r="C26" s="5">
        <f>'Raw Data'!C24/'Raw Data'!L24</f>
        <v>14.341664524863013</v>
      </c>
      <c r="D26" s="5">
        <f>'Raw Data'!C24/'Raw Data'!N24</f>
        <v>2.7339329257547078</v>
      </c>
      <c r="E26" s="12">
        <f>'Raw Data'!J24/'Raw Data'!M24</f>
        <v>0.30279490818676286</v>
      </c>
      <c r="F26" s="11">
        <f>'Raw Data'!I24/('Raw Data'!M24+'Raw Data'!E24)</f>
        <v>0.38550874763665144</v>
      </c>
      <c r="G26" s="5">
        <f>'Raw Data'!E24/'Raw Data'!M24</f>
        <v>0.18594466687786371</v>
      </c>
      <c r="H26" s="5">
        <f>'Raw Data'!I24/'Raw Data'!Q24</f>
        <v>-11.412596714078948</v>
      </c>
      <c r="I26" s="11">
        <f>'Raw Data'!I24/'Raw Data'!O24</f>
        <v>0.17243434625079065</v>
      </c>
      <c r="J26" s="11">
        <f>IFERROR('Raw Data'!J24/'Raw Data'!O24, "")</f>
        <v>0.11420199193542339</v>
      </c>
      <c r="K26" s="11">
        <f>'Raw Data'!R24/'Raw Data'!C24</f>
        <v>6.9726913376503746E-2</v>
      </c>
      <c r="L26" s="5">
        <f t="shared" si="0"/>
        <v>29.333333333333332</v>
      </c>
      <c r="M26" s="5">
        <f t="shared" si="3"/>
        <v>19</v>
      </c>
      <c r="N26" s="5">
        <f t="shared" si="1"/>
        <v>35.5</v>
      </c>
      <c r="O26" s="5">
        <f t="shared" si="2"/>
        <v>13</v>
      </c>
      <c r="P26" s="5">
        <f t="shared" si="4"/>
        <v>24.208333333333332</v>
      </c>
    </row>
    <row r="27" spans="1:16" x14ac:dyDescent="0.3">
      <c r="A27" s="5" t="str">
        <f>'Raw Data'!B25</f>
        <v>PTC India Limited</v>
      </c>
      <c r="B27" s="5">
        <f>('Raw Data'!D25+'Raw Data'!E25-'Raw Data'!F25)/'Raw Data'!H25</f>
        <v>4.6146281429330109</v>
      </c>
      <c r="C27" s="5">
        <f>'Raw Data'!C25/'Raw Data'!L25</f>
        <v>4.7479577005102467</v>
      </c>
      <c r="D27" s="5">
        <f>'Raw Data'!C25/'Raw Data'!N25</f>
        <v>0.75368171049843125</v>
      </c>
      <c r="E27" s="12">
        <f>'Raw Data'!J25/'Raw Data'!M25</f>
        <v>0.22544771452640558</v>
      </c>
      <c r="F27" s="11">
        <f>'Raw Data'!I25/('Raw Data'!M25+'Raw Data'!E25)</f>
        <v>0.17233502187966593</v>
      </c>
      <c r="G27" s="5">
        <f>'Raw Data'!E25/'Raw Data'!M25</f>
        <v>0.72484596496377129</v>
      </c>
      <c r="H27" s="5">
        <f>'Raw Data'!I25/'Raw Data'!Q25</f>
        <v>-4.5391570451252612</v>
      </c>
      <c r="I27" s="11">
        <f>'Raw Data'!I25/'Raw Data'!O25</f>
        <v>7.7378434787474679E-2</v>
      </c>
      <c r="J27" s="11">
        <f>IFERROR('Raw Data'!J25/'Raw Data'!O25, "")</f>
        <v>5.8687000991815244E-2</v>
      </c>
      <c r="K27" s="11">
        <f>'Raw Data'!R25/'Raw Data'!C25</f>
        <v>0.21061687215379646</v>
      </c>
      <c r="L27" s="5">
        <f t="shared" si="0"/>
        <v>11</v>
      </c>
      <c r="M27" s="5">
        <f t="shared" si="3"/>
        <v>29.25</v>
      </c>
      <c r="N27" s="5">
        <f t="shared" si="1"/>
        <v>36.5</v>
      </c>
      <c r="O27" s="5">
        <f t="shared" si="2"/>
        <v>3</v>
      </c>
      <c r="P27" s="5">
        <f t="shared" si="4"/>
        <v>19.9375</v>
      </c>
    </row>
    <row r="28" spans="1:16" x14ac:dyDescent="0.3">
      <c r="A28" s="5" t="str">
        <f>'Raw Data'!B26</f>
        <v>RattanIndia Power Limited</v>
      </c>
      <c r="B28" s="5">
        <f>('Raw Data'!D26+'Raw Data'!E26-'Raw Data'!F26)/'Raw Data'!H26</f>
        <v>11.69333929947509</v>
      </c>
      <c r="C28" s="5">
        <f>'Raw Data'!C26/'Raw Data'!L26</f>
        <v>0.45132434330421223</v>
      </c>
      <c r="D28" s="5">
        <f>'Raw Data'!C26/'Raw Data'!N26</f>
        <v>1.1024099194699273</v>
      </c>
      <c r="E28" s="12">
        <f>'Raw Data'!J26/'Raw Data'!M26</f>
        <v>-3.359654770357003</v>
      </c>
      <c r="F28" s="11">
        <f>'Raw Data'!I26/('Raw Data'!M26+'Raw Data'!E26)</f>
        <v>1.3361083549904462</v>
      </c>
      <c r="G28" s="5">
        <f>'Raw Data'!E26/'Raw Data'!M26</f>
        <v>-1.0811234274768398</v>
      </c>
      <c r="H28" s="5">
        <f>'Raw Data'!I26/'Raw Data'!Q26</f>
        <v>-0.63777301494495531</v>
      </c>
      <c r="I28" s="11">
        <f>'Raw Data'!I26/'Raw Data'!O26</f>
        <v>0.10645182376644081</v>
      </c>
      <c r="J28" s="11">
        <f>IFERROR('Raw Data'!J26/'Raw Data'!O26, "")</f>
        <v>3.299588549859588</v>
      </c>
      <c r="K28" s="11">
        <f>'Raw Data'!R26/'Raw Data'!C26</f>
        <v>2.21570144583572</v>
      </c>
      <c r="L28" s="5">
        <f t="shared" si="0"/>
        <v>18.333333333333332</v>
      </c>
      <c r="M28" s="5">
        <f t="shared" si="3"/>
        <v>23</v>
      </c>
      <c r="N28" s="5">
        <f t="shared" si="1"/>
        <v>11.5</v>
      </c>
      <c r="O28" s="5">
        <f t="shared" si="2"/>
        <v>1</v>
      </c>
      <c r="P28" s="5">
        <f t="shared" si="4"/>
        <v>13.458333333333332</v>
      </c>
    </row>
    <row r="29" spans="1:16" x14ac:dyDescent="0.3">
      <c r="A29" s="5" t="str">
        <f>'Raw Data'!B27</f>
        <v>Reliance Infrastructure Limited</v>
      </c>
      <c r="B29" s="5">
        <f>('Raw Data'!D27+'Raw Data'!E27-'Raw Data'!F27)/'Raw Data'!H27</f>
        <v>1.9981267193575338</v>
      </c>
      <c r="C29" s="5">
        <f>'Raw Data'!C27/'Raw Data'!L27</f>
        <v>0.64106730662755718</v>
      </c>
      <c r="D29" s="5">
        <f>'Raw Data'!C27/'Raw Data'!N27</f>
        <v>0.33806546453485181</v>
      </c>
      <c r="E29" s="12">
        <f>'Raw Data'!J27/'Raw Data'!M27</f>
        <v>-1.6204776846272169</v>
      </c>
      <c r="F29" s="11">
        <f>'Raw Data'!I27/('Raw Data'!M27+'Raw Data'!E27)</f>
        <v>0.99709923949831036</v>
      </c>
      <c r="G29" s="5">
        <f>'Raw Data'!E27/'Raw Data'!M27</f>
        <v>-1.9705016064703609</v>
      </c>
      <c r="H29" s="5">
        <f>'Raw Data'!I27/'Raw Data'!Q27</f>
        <v>-2.1842839520711022</v>
      </c>
      <c r="I29" s="11">
        <f>'Raw Data'!I27/'Raw Data'!O27</f>
        <v>0.14003802427577022</v>
      </c>
      <c r="J29" s="11">
        <f>IFERROR('Raw Data'!J27/'Raw Data'!O27, "")</f>
        <v>0.23450623064996801</v>
      </c>
      <c r="K29" s="11">
        <f>'Raw Data'!R27/'Raw Data'!C27</f>
        <v>1.5598986091814115</v>
      </c>
      <c r="L29" s="5">
        <f t="shared" si="0"/>
        <v>8.6666666666666661</v>
      </c>
      <c r="M29" s="5">
        <f t="shared" si="3"/>
        <v>24.25</v>
      </c>
      <c r="N29" s="5">
        <f t="shared" si="1"/>
        <v>15</v>
      </c>
      <c r="O29" s="5">
        <f t="shared" si="2"/>
        <v>2</v>
      </c>
      <c r="P29" s="5">
        <f t="shared" si="4"/>
        <v>12.479166666666666</v>
      </c>
    </row>
    <row r="30" spans="1:16" x14ac:dyDescent="0.3">
      <c r="A30" s="5" t="str">
        <f>'Raw Data'!B28</f>
        <v>Jaiprakash Power Ventures Limited</v>
      </c>
      <c r="B30" s="5">
        <f>('Raw Data'!D28+'Raw Data'!E28-'Raw Data'!F28)/'Raw Data'!H28</f>
        <v>8.7317299284180461</v>
      </c>
      <c r="C30" s="5">
        <f>'Raw Data'!C28/'Raw Data'!L28</f>
        <v>21.056782964417206</v>
      </c>
      <c r="D30" s="5">
        <f>'Raw Data'!C28/'Raw Data'!N28</f>
        <v>1.4103025698300182</v>
      </c>
      <c r="E30" s="12">
        <f>'Raw Data'!J28/'Raw Data'!M28</f>
        <v>-0.50892102627810842</v>
      </c>
      <c r="F30" s="11">
        <f>'Raw Data'!I28/('Raw Data'!M28+'Raw Data'!E28)</f>
        <v>0.53086176104344529</v>
      </c>
      <c r="G30" s="5">
        <f>'Raw Data'!E28/'Raw Data'!M28</f>
        <v>-2.5874409459122867</v>
      </c>
      <c r="H30" s="5">
        <f>'Raw Data'!I28/'Raw Data'!Q28</f>
        <v>-3.1933307774977697</v>
      </c>
      <c r="I30" s="11">
        <f>'Raw Data'!I28/'Raw Data'!O28</f>
        <v>0.23258956910532519</v>
      </c>
      <c r="J30" s="11">
        <f>IFERROR('Raw Data'!J28/'Raw Data'!O28, "")</f>
        <v>0.14046289230177408</v>
      </c>
      <c r="K30" s="11">
        <f>'Raw Data'!R28/'Raw Data'!C28</f>
        <v>4.7490635283169776E-2</v>
      </c>
      <c r="L30" s="5">
        <f t="shared" si="0"/>
        <v>24.333333333333332</v>
      </c>
      <c r="M30" s="5">
        <f t="shared" si="3"/>
        <v>23.5</v>
      </c>
      <c r="N30" s="5">
        <f t="shared" si="1"/>
        <v>18</v>
      </c>
      <c r="O30" s="5">
        <f t="shared" si="2"/>
        <v>24</v>
      </c>
      <c r="P30" s="5">
        <f t="shared" si="4"/>
        <v>22.458333333333332</v>
      </c>
    </row>
    <row r="31" spans="1:16" x14ac:dyDescent="0.3">
      <c r="A31" s="5" t="str">
        <f>'Raw Data'!B29</f>
        <v>Swan Corp Limited</v>
      </c>
      <c r="B31" s="5">
        <f>('Raw Data'!D29+'Raw Data'!E29-'Raw Data'!F29)/'Raw Data'!H29</f>
        <v>-33.642668018200737</v>
      </c>
      <c r="C31" s="5">
        <f>'Raw Data'!C29/'Raw Data'!L29</f>
        <v>15.38920355808011</v>
      </c>
      <c r="D31" s="5">
        <f>'Raw Data'!C29/'Raw Data'!N29</f>
        <v>1.3824708280015268</v>
      </c>
      <c r="E31" s="12">
        <f>'Raw Data'!J29/'Raw Data'!M29</f>
        <v>0.49887254785905899</v>
      </c>
      <c r="F31" s="11">
        <f>'Raw Data'!I29/('Raw Data'!M29+'Raw Data'!E29)</f>
        <v>-0.15214029197645082</v>
      </c>
      <c r="G31" s="5">
        <f>'Raw Data'!E29/'Raw Data'!M29</f>
        <v>2.3300697454588009</v>
      </c>
      <c r="H31" s="5">
        <f>'Raw Data'!I29/'Raw Data'!Q29</f>
        <v>4.1550741923288141</v>
      </c>
      <c r="I31" s="11">
        <f>'Raw Data'!I29/'Raw Data'!O29</f>
        <v>-0.12883678248726596</v>
      </c>
      <c r="J31" s="11">
        <f>IFERROR('Raw Data'!J29/'Raw Data'!O29, "")</f>
        <v>0.12686210157697542</v>
      </c>
      <c r="K31" s="11">
        <f>'Raw Data'!R29/'Raw Data'!C29</f>
        <v>6.4980620746610984E-2</v>
      </c>
      <c r="L31" s="5">
        <f t="shared" si="0"/>
        <v>16</v>
      </c>
      <c r="M31" s="5">
        <f t="shared" si="3"/>
        <v>34.75</v>
      </c>
      <c r="N31" s="5">
        <f t="shared" si="1"/>
        <v>30.5</v>
      </c>
      <c r="O31" s="5">
        <f t="shared" si="2"/>
        <v>16</v>
      </c>
      <c r="P31" s="5">
        <f t="shared" si="4"/>
        <v>24.3125</v>
      </c>
    </row>
    <row r="32" spans="1:16" x14ac:dyDescent="0.3">
      <c r="A32" s="5" t="str">
        <f>'Raw Data'!B30</f>
        <v>Nava Limited</v>
      </c>
      <c r="B32" s="5">
        <f>('Raw Data'!D30+'Raw Data'!E30-'Raw Data'!F30)/'Raw Data'!H30</f>
        <v>9.0896362707565466</v>
      </c>
      <c r="C32" s="5">
        <f>'Raw Data'!C30/'Raw Data'!L30</f>
        <v>17.218832448638789</v>
      </c>
      <c r="D32" s="5">
        <f>'Raw Data'!C30/'Raw Data'!N30</f>
        <v>1.9600105290914194</v>
      </c>
      <c r="E32" s="12">
        <f>'Raw Data'!J30/'Raw Data'!M30</f>
        <v>0.13094143723226179</v>
      </c>
      <c r="F32" s="11">
        <f>'Raw Data'!I30/('Raw Data'!M30+'Raw Data'!E30)</f>
        <v>0.15830570979028832</v>
      </c>
      <c r="G32" s="5">
        <f>'Raw Data'!E30/'Raw Data'!M30</f>
        <v>0.22656686069113133</v>
      </c>
      <c r="H32" s="5">
        <f>'Raw Data'!I30/'Raw Data'!Q30</f>
        <v>-242.69038956289253</v>
      </c>
      <c r="I32" s="11">
        <f>'Raw Data'!I30/'Raw Data'!O30</f>
        <v>0.34040570900855971</v>
      </c>
      <c r="J32" s="11">
        <f>IFERROR('Raw Data'!J30/'Raw Data'!O30, "")</f>
        <v>0.22955467007090211</v>
      </c>
      <c r="K32" s="11">
        <f>'Raw Data'!R30/'Raw Data'!C30</f>
        <v>5.807594695998413E-2</v>
      </c>
      <c r="L32" s="5">
        <f t="shared" si="0"/>
        <v>28</v>
      </c>
      <c r="M32" s="5">
        <f t="shared" si="3"/>
        <v>18</v>
      </c>
      <c r="N32" s="5">
        <f t="shared" si="1"/>
        <v>43.5</v>
      </c>
      <c r="O32" s="5">
        <f t="shared" si="2"/>
        <v>21</v>
      </c>
      <c r="P32" s="5">
        <f t="shared" si="4"/>
        <v>27.625</v>
      </c>
    </row>
    <row r="33" spans="1:16" x14ac:dyDescent="0.3">
      <c r="A33" s="5" t="str">
        <f>'Raw Data'!B31</f>
        <v>CESC Limited</v>
      </c>
      <c r="B33" s="5">
        <f>('Raw Data'!D31+'Raw Data'!E31-'Raw Data'!F31)/'Raw Data'!H31</f>
        <v>11.094945727591734</v>
      </c>
      <c r="C33" s="5">
        <f>'Raw Data'!C31/'Raw Data'!L31</f>
        <v>15.531983096162167</v>
      </c>
      <c r="D33" s="5">
        <f>'Raw Data'!C31/'Raw Data'!N31</f>
        <v>1.7850224477558412</v>
      </c>
      <c r="E33" s="12">
        <f>'Raw Data'!J31/'Raw Data'!M31</f>
        <v>0.10828868715592922</v>
      </c>
      <c r="F33" s="11">
        <f>'Raw Data'!I31/('Raw Data'!M31+'Raw Data'!E31)</f>
        <v>6.9504055536778298E-2</v>
      </c>
      <c r="G33" s="5">
        <f>'Raw Data'!E31/'Raw Data'!M31</f>
        <v>1.4127823074625423</v>
      </c>
      <c r="H33" s="5">
        <f>'Raw Data'!I31/'Raw Data'!Q31</f>
        <v>-1.3993442571896944</v>
      </c>
      <c r="I33" s="11">
        <f>'Raw Data'!I31/'Raw Data'!O31</f>
        <v>0.12306805059694689</v>
      </c>
      <c r="J33" s="11">
        <f>IFERROR('Raw Data'!J31/'Raw Data'!O31, "")</f>
        <v>7.9469434774422046E-2</v>
      </c>
      <c r="K33" s="11">
        <f>'Raw Data'!R31/'Raw Data'!C31</f>
        <v>6.4383278928953527E-2</v>
      </c>
      <c r="L33" s="5">
        <f t="shared" si="0"/>
        <v>27.333333333333332</v>
      </c>
      <c r="M33" s="5">
        <f t="shared" si="3"/>
        <v>34.5</v>
      </c>
      <c r="N33" s="5">
        <f t="shared" si="1"/>
        <v>32</v>
      </c>
      <c r="O33" s="5">
        <f t="shared" si="2"/>
        <v>18</v>
      </c>
      <c r="P33" s="5">
        <f t="shared" si="4"/>
        <v>27.958333333333332</v>
      </c>
    </row>
    <row r="34" spans="1:16" x14ac:dyDescent="0.3">
      <c r="A34" s="5" t="str">
        <f>'Raw Data'!B32</f>
        <v>SJVN Limited</v>
      </c>
      <c r="B34" s="5">
        <f>('Raw Data'!D32+'Raw Data'!E32-'Raw Data'!F32)/'Raw Data'!H32</f>
        <v>22.769177013602754</v>
      </c>
      <c r="C34" s="5">
        <f>'Raw Data'!C32/'Raw Data'!L32</f>
        <v>32.840987359658421</v>
      </c>
      <c r="D34" s="5">
        <f>'Raw Data'!C32/'Raw Data'!N32</f>
        <v>1.8985195285559826</v>
      </c>
      <c r="E34" s="12">
        <f>'Raw Data'!J32/'Raw Data'!M32</f>
        <v>8.0473840946854391E-2</v>
      </c>
      <c r="F34" s="11">
        <f>'Raw Data'!I32/('Raw Data'!M32+'Raw Data'!E32)</f>
        <v>4.1516920281339943E-2</v>
      </c>
      <c r="G34" s="5">
        <f>'Raw Data'!E32/'Raw Data'!M32</f>
        <v>2.653320692724209</v>
      </c>
      <c r="H34" s="5">
        <f>'Raw Data'!I32/'Raw Data'!Q32</f>
        <v>-2.07819793651201</v>
      </c>
      <c r="I34" s="11">
        <f>'Raw Data'!I32/'Raw Data'!O32</f>
        <v>0.5028857323239696</v>
      </c>
      <c r="J34" s="11">
        <f>IFERROR('Raw Data'!J32/'Raw Data'!O32, "")</f>
        <v>0.26681553829083737</v>
      </c>
      <c r="K34" s="11">
        <f>'Raw Data'!R32/'Raw Data'!C32</f>
        <v>3.0449754419636946E-2</v>
      </c>
      <c r="L34" s="5">
        <f t="shared" si="0"/>
        <v>39.666666666666664</v>
      </c>
      <c r="M34" s="5">
        <f t="shared" si="3"/>
        <v>22</v>
      </c>
      <c r="N34" s="5">
        <f t="shared" si="1"/>
        <v>39</v>
      </c>
      <c r="O34" s="5">
        <f t="shared" si="2"/>
        <v>33</v>
      </c>
      <c r="P34" s="5">
        <f t="shared" si="4"/>
        <v>33.416666666666664</v>
      </c>
    </row>
    <row r="35" spans="1:16" x14ac:dyDescent="0.3">
      <c r="A35" s="5" t="str">
        <f>'Raw Data'!B33</f>
        <v>NLC India Limited</v>
      </c>
      <c r="B35" s="5">
        <f>('Raw Data'!D33+'Raw Data'!E33-'Raw Data'!F33)/'Raw Data'!H33</f>
        <v>11.608896359068105</v>
      </c>
      <c r="C35" s="5">
        <f>'Raw Data'!C33/'Raw Data'!L33</f>
        <v>10.915305198245255</v>
      </c>
      <c r="D35" s="5">
        <f>'Raw Data'!C33/'Raw Data'!N33</f>
        <v>1.714298215752567</v>
      </c>
      <c r="E35" s="12">
        <f>'Raw Data'!J33/'Raw Data'!M33</f>
        <v>0.17009693012591431</v>
      </c>
      <c r="F35" s="11">
        <f>'Raw Data'!I33/('Raw Data'!M33+'Raw Data'!E33)</f>
        <v>6.8871727059458654E-2</v>
      </c>
      <c r="G35" s="5">
        <f>'Raw Data'!E33/'Raw Data'!M33</f>
        <v>1.334146730838665</v>
      </c>
      <c r="H35" s="5">
        <f>'Raw Data'!I33/'Raw Data'!Q33</f>
        <v>-2.5959214666513692</v>
      </c>
      <c r="I35" s="11">
        <f>'Raw Data'!I33/'Raw Data'!O33</f>
        <v>0.17180173397464077</v>
      </c>
      <c r="J35" s="11">
        <f>IFERROR('Raw Data'!J33/'Raw Data'!O33, "")</f>
        <v>0.18178368011102203</v>
      </c>
      <c r="K35" s="11">
        <f>'Raw Data'!R33/'Raw Data'!C33</f>
        <v>9.1614479104144525E-2</v>
      </c>
      <c r="L35" s="5">
        <f t="shared" si="0"/>
        <v>24.666666666666668</v>
      </c>
      <c r="M35" s="5">
        <f t="shared" si="3"/>
        <v>25.25</v>
      </c>
      <c r="N35" s="5">
        <f t="shared" si="1"/>
        <v>36</v>
      </c>
      <c r="O35" s="5">
        <f t="shared" si="2"/>
        <v>9</v>
      </c>
      <c r="P35" s="5">
        <f t="shared" si="4"/>
        <v>23.729166666666668</v>
      </c>
    </row>
    <row r="36" spans="1:16" x14ac:dyDescent="0.3">
      <c r="A36" s="5" t="str">
        <f>'Raw Data'!B34</f>
        <v>Torrent Power Limited</v>
      </c>
      <c r="B36" s="5">
        <f>('Raw Data'!D34+'Raw Data'!E34-'Raw Data'!F34)/'Raw Data'!H34</f>
        <v>13.996731155236727</v>
      </c>
      <c r="C36" s="5">
        <f>'Raw Data'!C34/'Raw Data'!L34</f>
        <v>22.41616737288868</v>
      </c>
      <c r="D36" s="5">
        <f>'Raw Data'!C34/'Raw Data'!N34</f>
        <v>3.4976448265545468</v>
      </c>
      <c r="E36" s="12">
        <f>'Raw Data'!J34/'Raw Data'!M34</f>
        <v>0.20058305722778241</v>
      </c>
      <c r="F36" s="11">
        <f>'Raw Data'!I34/('Raw Data'!M34+'Raw Data'!E34)</f>
        <v>0.15575350661194476</v>
      </c>
      <c r="G36" s="5">
        <f>'Raw Data'!E34/'Raw Data'!M34</f>
        <v>0.64530409890241558</v>
      </c>
      <c r="H36" s="5">
        <f>'Raw Data'!I34/'Raw Data'!Q34</f>
        <v>-3.6408347022155216</v>
      </c>
      <c r="I36" s="11">
        <f>'Raw Data'!I34/'Raw Data'!O34</f>
        <v>0.12520267210880373</v>
      </c>
      <c r="J36" s="11">
        <f>IFERROR('Raw Data'!J34/'Raw Data'!O34, "")</f>
        <v>9.7999493587034053E-2</v>
      </c>
      <c r="K36" s="11">
        <f>'Raw Data'!R34/'Raw Data'!C34</f>
        <v>4.461065905536795E-2</v>
      </c>
      <c r="L36" s="5">
        <f t="shared" si="0"/>
        <v>39.666666666666664</v>
      </c>
      <c r="M36" s="5">
        <f t="shared" si="3"/>
        <v>25.75</v>
      </c>
      <c r="N36" s="5">
        <f t="shared" si="1"/>
        <v>35</v>
      </c>
      <c r="O36" s="5">
        <f t="shared" si="2"/>
        <v>27</v>
      </c>
      <c r="P36" s="5">
        <f t="shared" si="4"/>
        <v>31.854166666666664</v>
      </c>
    </row>
    <row r="37" spans="1:16" x14ac:dyDescent="0.3">
      <c r="A37" s="5" t="str">
        <f>'Raw Data'!B35</f>
        <v>NHPC Limited</v>
      </c>
      <c r="B37" s="5">
        <f>('Raw Data'!D35+'Raw Data'!E35-'Raw Data'!F35)/'Raw Data'!H35</f>
        <v>20.186681634298019</v>
      </c>
      <c r="C37" s="5">
        <f>'Raw Data'!C35/'Raw Data'!L35</f>
        <v>24.091564312736896</v>
      </c>
      <c r="D37" s="5">
        <f>'Raw Data'!C35/'Raw Data'!N35</f>
        <v>1.8518718961778027</v>
      </c>
      <c r="E37" s="12">
        <f>'Raw Data'!J35/'Raw Data'!M35</f>
        <v>0.11540998522347373</v>
      </c>
      <c r="F37" s="11">
        <f>'Raw Data'!I35/('Raw Data'!M35+'Raw Data'!E35)</f>
        <v>6.6596118954376893E-2</v>
      </c>
      <c r="G37" s="5">
        <f>'Raw Data'!E35/'Raw Data'!M35</f>
        <v>1.5731732050062497</v>
      </c>
      <c r="H37" s="5">
        <f>'Raw Data'!I35/'Raw Data'!Q35</f>
        <v>-12.171992863017707</v>
      </c>
      <c r="I37" s="11">
        <f>'Raw Data'!I35/'Raw Data'!O35</f>
        <v>0.41548869944413652</v>
      </c>
      <c r="J37" s="11">
        <f>IFERROR('Raw Data'!J35/'Raw Data'!O35, "")</f>
        <v>0.27982380704472937</v>
      </c>
      <c r="K37" s="11">
        <f>'Raw Data'!R35/'Raw Data'!C35</f>
        <v>4.1508305024066584E-2</v>
      </c>
      <c r="L37" s="5">
        <f t="shared" si="0"/>
        <v>37.666666666666664</v>
      </c>
      <c r="M37" s="5">
        <f t="shared" si="3"/>
        <v>20.75</v>
      </c>
      <c r="N37" s="5">
        <f t="shared" si="1"/>
        <v>45.5</v>
      </c>
      <c r="O37" s="5">
        <f t="shared" si="2"/>
        <v>30</v>
      </c>
      <c r="P37" s="5">
        <f t="shared" si="4"/>
        <v>33.479166666666664</v>
      </c>
    </row>
    <row r="38" spans="1:16" x14ac:dyDescent="0.3">
      <c r="A38" s="5" t="str">
        <f>'Raw Data'!B36</f>
        <v>JSW Energy Limited</v>
      </c>
      <c r="B38" s="5">
        <f>('Raw Data'!D36+'Raw Data'!E36-'Raw Data'!F36)/'Raw Data'!H36</f>
        <v>19.747703365228965</v>
      </c>
      <c r="C38" s="5">
        <f>'Raw Data'!C36/'Raw Data'!L36</f>
        <v>35.057274189930773</v>
      </c>
      <c r="D38" s="5">
        <f>'Raw Data'!C36/'Raw Data'!N36</f>
        <v>2.7845639969150997</v>
      </c>
      <c r="E38" s="12">
        <f>'Raw Data'!J36/'Raw Data'!M36</f>
        <v>0.18899739931523765</v>
      </c>
      <c r="F38" s="11">
        <f>'Raw Data'!I36/('Raw Data'!M36+'Raw Data'!E36)</f>
        <v>7.4786079720988691E-2</v>
      </c>
      <c r="G38" s="5">
        <f>'Raw Data'!E36/'Raw Data'!M36</f>
        <v>4.3663797943132749</v>
      </c>
      <c r="H38" s="5">
        <f>'Raw Data'!I36/'Raw Data'!Q36</f>
        <v>-1.5398284132146849</v>
      </c>
      <c r="I38" s="11">
        <f>'Raw Data'!I36/'Raw Data'!O36</f>
        <v>0.32926056262575398</v>
      </c>
      <c r="J38" s="11">
        <f>IFERROR('Raw Data'!J36/'Raw Data'!O36, "")</f>
        <v>0.15505771161370413</v>
      </c>
      <c r="K38" s="11">
        <f>'Raw Data'!R36/'Raw Data'!C36</f>
        <v>2.8524750514893771E-2</v>
      </c>
      <c r="L38" s="5">
        <f t="shared" si="0"/>
        <v>42.666666666666664</v>
      </c>
      <c r="M38" s="5">
        <f t="shared" si="3"/>
        <v>21</v>
      </c>
      <c r="N38" s="5">
        <f t="shared" si="1"/>
        <v>38.5</v>
      </c>
      <c r="O38" s="5">
        <f t="shared" si="2"/>
        <v>36</v>
      </c>
      <c r="P38" s="5">
        <f t="shared" si="4"/>
        <v>34.541666666666664</v>
      </c>
    </row>
    <row r="39" spans="1:16" x14ac:dyDescent="0.3">
      <c r="A39" s="5" t="str">
        <f>'Raw Data'!B37</f>
        <v>Siemens Energy India Limited</v>
      </c>
      <c r="B39" s="5">
        <f>('Raw Data'!D37+'Raw Data'!E37-'Raw Data'!F37)/'Raw Data'!H37</f>
        <v>56.25421554037225</v>
      </c>
      <c r="C39" s="5">
        <f>'Raw Data'!C37/'Raw Data'!L37</f>
        <v>77.451448117254188</v>
      </c>
      <c r="D39" s="5">
        <f>'Raw Data'!C37/'Raw Data'!N37</f>
        <v>26.386015550181224</v>
      </c>
      <c r="E39" s="12">
        <f>'Raw Data'!J37/'Raw Data'!M37</f>
        <v>0.39635843187494196</v>
      </c>
      <c r="F39" s="11">
        <f>'Raw Data'!I37/('Raw Data'!M37+'Raw Data'!E37)</f>
        <v>0.50598916243247216</v>
      </c>
      <c r="G39" s="5">
        <f>'Raw Data'!E37/'Raw Data'!M37</f>
        <v>4.0233005241187114E-2</v>
      </c>
      <c r="H39" s="5">
        <f>'Raw Data'!I37/'Raw Data'!Q37</f>
        <v>-52.566262991414376</v>
      </c>
      <c r="I39" s="11">
        <f>'Raw Data'!I37/'Raw Data'!O37</f>
        <v>0.18104485699750844</v>
      </c>
      <c r="J39" s="11">
        <f>IFERROR('Raw Data'!J37/'Raw Data'!O37, "")</f>
        <v>0.13633345770607333</v>
      </c>
      <c r="K39" s="11">
        <f>'Raw Data'!R37/'Raw Data'!C37</f>
        <v>1.2911314433864353E-2</v>
      </c>
      <c r="L39" s="5">
        <f t="shared" si="0"/>
        <v>53.666666666666664</v>
      </c>
      <c r="M39" s="5">
        <f t="shared" si="3"/>
        <v>15.25</v>
      </c>
      <c r="N39" s="5">
        <f t="shared" si="1"/>
        <v>36.5</v>
      </c>
      <c r="O39" s="5">
        <f t="shared" si="2"/>
        <v>40</v>
      </c>
      <c r="P39" s="5">
        <f t="shared" si="4"/>
        <v>36.354166666666664</v>
      </c>
    </row>
    <row r="40" spans="1:16" x14ac:dyDescent="0.3">
      <c r="A40" s="5" t="str">
        <f>'Raw Data'!B38</f>
        <v>Adani Energy Solutions Limited</v>
      </c>
      <c r="B40" s="5">
        <f>('Raw Data'!D38+'Raw Data'!E38-'Raw Data'!F38)/'Raw Data'!H38</f>
        <v>17.906468129506603</v>
      </c>
      <c r="C40" s="5">
        <f>'Raw Data'!C38/'Raw Data'!L38</f>
        <v>47.733035913427912</v>
      </c>
      <c r="D40" s="5">
        <f>'Raw Data'!C38/'Raw Data'!N38</f>
        <v>5.1880263958577784</v>
      </c>
      <c r="E40" s="12">
        <f>'Raw Data'!J38/'Raw Data'!M38</f>
        <v>0.3481931375737497</v>
      </c>
      <c r="F40" s="11">
        <f>'Raw Data'!I38/('Raw Data'!M38+'Raw Data'!E38)</f>
        <v>0.14101408466173157</v>
      </c>
      <c r="G40" s="5">
        <f>'Raw Data'!E38/'Raw Data'!M38</f>
        <v>5.8542818337043165</v>
      </c>
      <c r="H40" s="5">
        <f>'Raw Data'!I38/'Raw Data'!Q38</f>
        <v>-2.0669769764689683</v>
      </c>
      <c r="I40" s="11">
        <f>'Raw Data'!I38/'Raw Data'!O38</f>
        <v>0.26388993559916785</v>
      </c>
      <c r="J40" s="11">
        <f>IFERROR('Raw Data'!J38/'Raw Data'!O38, "")</f>
        <v>9.50645472526465E-2</v>
      </c>
      <c r="K40" s="11">
        <f>'Raw Data'!R38/'Raw Data'!C38</f>
        <v>2.0949851206063498E-2</v>
      </c>
      <c r="L40" s="5">
        <f t="shared" si="0"/>
        <v>47.333333333333336</v>
      </c>
      <c r="M40" s="5">
        <f t="shared" si="3"/>
        <v>20.75</v>
      </c>
      <c r="N40" s="5">
        <f t="shared" si="1"/>
        <v>40</v>
      </c>
      <c r="O40" s="5">
        <f t="shared" si="2"/>
        <v>38</v>
      </c>
      <c r="P40" s="5">
        <f t="shared" si="4"/>
        <v>36.520833333333336</v>
      </c>
    </row>
    <row r="41" spans="1:16" x14ac:dyDescent="0.3">
      <c r="A41" s="5" t="str">
        <f>'Raw Data'!B39</f>
        <v>Tata Power Company Limited</v>
      </c>
      <c r="B41" s="5">
        <f>('Raw Data'!D39+'Raw Data'!E39-'Raw Data'!F39)/'Raw Data'!H39</f>
        <v>12.223122560657535</v>
      </c>
      <c r="C41" s="5">
        <f>'Raw Data'!C39/'Raw Data'!L39</f>
        <v>28.590228738122271</v>
      </c>
      <c r="D41" s="5">
        <f>'Raw Data'!C39/'Raw Data'!N39</f>
        <v>3.2194433358424415</v>
      </c>
      <c r="E41" s="12">
        <f>'Raw Data'!J39/'Raw Data'!M39</f>
        <v>0.1429955377220968</v>
      </c>
      <c r="F41" s="11">
        <f>'Raw Data'!I39/('Raw Data'!M39+'Raw Data'!E39)</f>
        <v>0.11259837724606205</v>
      </c>
      <c r="G41" s="5">
        <f>'Raw Data'!E39/'Raw Data'!M39</f>
        <v>2.2308047057057987</v>
      </c>
      <c r="H41" s="5">
        <f>'Raw Data'!I39/'Raw Data'!Q39</f>
        <v>-2.3129905682226086</v>
      </c>
      <c r="I41" s="11">
        <f>'Raw Data'!I39/'Raw Data'!O39</f>
        <v>0.15597460509726735</v>
      </c>
      <c r="J41" s="11">
        <f>IFERROR('Raw Data'!J39/'Raw Data'!O39, "")</f>
        <v>6.131031417692645E-2</v>
      </c>
      <c r="K41" s="11">
        <f>'Raw Data'!R39/'Raw Data'!C39</f>
        <v>3.497698493984408E-2</v>
      </c>
      <c r="L41" s="5">
        <f t="shared" ref="L41:L67" si="5">AVERAGE(_xlfn.RANK.EQ(B41,$B$9:$B$67,1),
_xlfn.RANK.EQ(C41,$C$9:$C$67,1),
_xlfn.RANK.EQ(D41,$D$9:$D$67,1)
)</f>
        <v>39.333333333333336</v>
      </c>
      <c r="M41" s="5">
        <f t="shared" si="3"/>
        <v>31.75</v>
      </c>
      <c r="N41" s="5">
        <f t="shared" ref="N41:N67" si="6">AVERAGE(
_xlfn.RANK.EQ(G41,$G$9:$G$67,1),
_xlfn.RANK.EQ(H41,$H$9:$H$67,0)
)</f>
        <v>39.5</v>
      </c>
      <c r="O41" s="5">
        <f t="shared" ref="O41:O67" si="7">_xlfn.RANK.EQ(K41,$K$9:$K$67,0)</f>
        <v>31</v>
      </c>
      <c r="P41" s="5">
        <f t="shared" si="4"/>
        <v>35.395833333333336</v>
      </c>
    </row>
    <row r="42" spans="1:16" x14ac:dyDescent="0.3">
      <c r="A42" s="5" t="str">
        <f>'Raw Data'!B40</f>
        <v>Adani Green Energy Limited</v>
      </c>
      <c r="B42" s="5">
        <f>('Raw Data'!D40+'Raw Data'!E40-'Raw Data'!F40)/'Raw Data'!H40</f>
        <v>24.115197694719743</v>
      </c>
      <c r="C42" s="5">
        <f>'Raw Data'!C40/'Raw Data'!L40</f>
        <v>82.174779006283757</v>
      </c>
      <c r="D42" s="5">
        <f>'Raw Data'!C40/'Raw Data'!N40</f>
        <v>8.7977454848890524</v>
      </c>
      <c r="E42" s="12">
        <f>'Raw Data'!J40/'Raw Data'!M40</f>
        <v>0.63775480723942346</v>
      </c>
      <c r="F42" s="11">
        <f>'Raw Data'!I40/('Raw Data'!M40+'Raw Data'!E40)</f>
        <v>7.8966481513529987E-2</v>
      </c>
      <c r="G42" s="5">
        <f>'Raw Data'!E40/'Raw Data'!M40</f>
        <v>27.859266345566063</v>
      </c>
      <c r="H42" s="5">
        <f>'Raw Data'!I40/'Raw Data'!Q40</f>
        <v>-1.2193101110476645</v>
      </c>
      <c r="I42" s="11">
        <f>'Raw Data'!I40/'Raw Data'!O40</f>
        <v>0.59882079350106809</v>
      </c>
      <c r="J42" s="11">
        <f>IFERROR('Raw Data'!J40/'Raw Data'!O40, "")</f>
        <v>0.16758013627331764</v>
      </c>
      <c r="K42" s="11">
        <f>'Raw Data'!R40/'Raw Data'!C40</f>
        <v>1.2169183928362397E-2</v>
      </c>
      <c r="L42" s="5">
        <f t="shared" si="5"/>
        <v>51.333333333333336</v>
      </c>
      <c r="M42" s="5">
        <f t="shared" si="3"/>
        <v>14.5</v>
      </c>
      <c r="N42" s="5">
        <f t="shared" si="6"/>
        <v>37.5</v>
      </c>
      <c r="O42" s="5">
        <f t="shared" si="7"/>
        <v>41</v>
      </c>
      <c r="P42" s="5">
        <f t="shared" si="4"/>
        <v>36.083333333333336</v>
      </c>
    </row>
    <row r="43" spans="1:16" x14ac:dyDescent="0.3">
      <c r="A43" s="5" t="str">
        <f>'Raw Data'!B41</f>
        <v>Adani Power Limited</v>
      </c>
      <c r="B43" s="5">
        <f>('Raw Data'!D41+'Raw Data'!E41-'Raw Data'!F41)/'Raw Data'!H41</f>
        <v>14.747370749859437</v>
      </c>
      <c r="C43" s="5">
        <f>'Raw Data'!C41/'Raw Data'!L41</f>
        <v>22.265672879449479</v>
      </c>
      <c r="D43" s="5">
        <f>'Raw Data'!C41/'Raw Data'!N41</f>
        <v>4.5832996984771137</v>
      </c>
      <c r="E43" s="12">
        <f>'Raw Data'!J41/'Raw Data'!M41</f>
        <v>0.36392916597790098</v>
      </c>
      <c r="F43" s="11">
        <f>'Raw Data'!I41/('Raw Data'!M41+'Raw Data'!E41)</f>
        <v>0.19976001313830352</v>
      </c>
      <c r="G43" s="5">
        <f>'Raw Data'!E41/'Raw Data'!M41</f>
        <v>1.4658921333970303</v>
      </c>
      <c r="H43" s="5">
        <f>'Raw Data'!I41/'Raw Data'!Q41</f>
        <v>-5.1653445726602651</v>
      </c>
      <c r="I43" s="11">
        <f>'Raw Data'!I41/'Raw Data'!O41</f>
        <v>0.29356424040298196</v>
      </c>
      <c r="J43" s="11">
        <f>IFERROR('Raw Data'!J41/'Raw Data'!O41, "")</f>
        <v>0.21688892758831868</v>
      </c>
      <c r="K43" s="11">
        <f>'Raw Data'!R41/'Raw Data'!C41</f>
        <v>4.491218412370411E-2</v>
      </c>
      <c r="L43" s="5">
        <f t="shared" si="5"/>
        <v>42</v>
      </c>
      <c r="M43" s="5">
        <f t="shared" si="3"/>
        <v>12.75</v>
      </c>
      <c r="N43" s="5">
        <f t="shared" si="6"/>
        <v>41.5</v>
      </c>
      <c r="O43" s="5">
        <f t="shared" si="7"/>
        <v>26</v>
      </c>
      <c r="P43" s="5">
        <f t="shared" si="4"/>
        <v>30.5625</v>
      </c>
    </row>
    <row r="44" spans="1:16" x14ac:dyDescent="0.3">
      <c r="A44" s="5" t="str">
        <f>'Raw Data'!B42</f>
        <v>NTPC Limited</v>
      </c>
      <c r="B44" s="5">
        <f>('Raw Data'!D42+'Raw Data'!E42-'Raw Data'!F42)/'Raw Data'!H42</f>
        <v>10.228817870722995</v>
      </c>
      <c r="C44" s="5">
        <f>'Raw Data'!C42/'Raw Data'!L42</f>
        <v>13.002939288503596</v>
      </c>
      <c r="D44" s="5">
        <f>'Raw Data'!C42/'Raw Data'!N42</f>
        <v>1.6082200185546278</v>
      </c>
      <c r="E44" s="12">
        <f>'Raw Data'!J42/'Raw Data'!M42</f>
        <v>0.13762299138464607</v>
      </c>
      <c r="F44" s="11">
        <f>'Raw Data'!I42/('Raw Data'!M42+'Raw Data'!E42)</f>
        <v>8.5176051861304808E-2</v>
      </c>
      <c r="G44" s="5">
        <f>'Raw Data'!E42/'Raw Data'!M42</f>
        <v>1.4768489424797304</v>
      </c>
      <c r="H44" s="5">
        <f>'Raw Data'!I42/'Raw Data'!Q42</f>
        <v>-2.7176364852845079</v>
      </c>
      <c r="I44" s="11">
        <f>'Raw Data'!I42/'Raw Data'!O42</f>
        <v>0.19495721411595421</v>
      </c>
      <c r="J44" s="11">
        <f>IFERROR('Raw Data'!J42/'Raw Data'!O42, "")</f>
        <v>0.1271783767461061</v>
      </c>
      <c r="K44" s="11">
        <f>'Raw Data'!R42/'Raw Data'!C42</f>
        <v>7.6905688614891776E-2</v>
      </c>
      <c r="L44" s="5">
        <f t="shared" si="5"/>
        <v>23.666666666666668</v>
      </c>
      <c r="M44" s="5">
        <f t="shared" si="3"/>
        <v>25.75</v>
      </c>
      <c r="N44" s="5">
        <f t="shared" si="6"/>
        <v>39</v>
      </c>
      <c r="O44" s="5">
        <f t="shared" si="7"/>
        <v>12</v>
      </c>
      <c r="P44" s="5">
        <f t="shared" si="4"/>
        <v>25.104166666666668</v>
      </c>
    </row>
    <row r="45" spans="1:16" x14ac:dyDescent="0.3">
      <c r="A45" s="5" t="str">
        <f>'Raw Data'!B43</f>
        <v>Jayshree Chemicals Limited</v>
      </c>
      <c r="B45" s="5">
        <f>('Raw Data'!D43+'Raw Data'!E43-'Raw Data'!F43)/'Raw Data'!H43</f>
        <v>-19.841737490708493</v>
      </c>
      <c r="C45" s="5">
        <f>'Raw Data'!C43/'Raw Data'!L43</f>
        <v>-76.032732430827821</v>
      </c>
      <c r="D45" s="5">
        <f>'Raw Data'!C43/'Raw Data'!N43</f>
        <v>1.5463054576402813</v>
      </c>
      <c r="E45" s="12">
        <f>'Raw Data'!J43/'Raw Data'!M43</f>
        <v>6.3428082589387811E-3</v>
      </c>
      <c r="F45" s="11">
        <f>'Raw Data'!I43/('Raw Data'!M43+'Raw Data'!E43)</f>
        <v>2.3196371560611051E-2</v>
      </c>
      <c r="G45" s="5">
        <f>'Raw Data'!E43/'Raw Data'!M43</f>
        <v>-2.2619714856439054E-2</v>
      </c>
      <c r="H45" s="5">
        <f>'Raw Data'!I43/'Raw Data'!Q43</f>
        <v>14.393986254295534</v>
      </c>
      <c r="I45" s="11">
        <f>'Raw Data'!I43/'Raw Data'!O43</f>
        <v>-4.0169360271782001E-2</v>
      </c>
      <c r="J45" s="11">
        <f>IFERROR('Raw Data'!J43/'Raw Data'!O43, "")</f>
        <v>-1.1238099348116398E-2</v>
      </c>
      <c r="K45" s="11">
        <f>'Raw Data'!R43/'Raw Data'!C43</f>
        <v>-1.3152230204402668E-2</v>
      </c>
      <c r="L45" s="5">
        <f t="shared" si="5"/>
        <v>10.666666666666666</v>
      </c>
      <c r="M45" s="5">
        <f t="shared" si="3"/>
        <v>47.5</v>
      </c>
      <c r="N45" s="5">
        <f t="shared" si="6"/>
        <v>10.5</v>
      </c>
      <c r="O45" s="5">
        <f t="shared" si="7"/>
        <v>51</v>
      </c>
      <c r="P45" s="5">
        <f t="shared" si="4"/>
        <v>29.916666666666664</v>
      </c>
    </row>
    <row r="46" spans="1:16" x14ac:dyDescent="0.3">
      <c r="A46" s="5" t="str">
        <f>'Raw Data'!B44</f>
        <v>Venlon Enterprises Limited</v>
      </c>
      <c r="B46" s="5">
        <f>('Raw Data'!D44+'Raw Data'!E44-'Raw Data'!F44)/'Raw Data'!H44</f>
        <v>-4.5721246731269733</v>
      </c>
      <c r="C46" s="5">
        <f>'Raw Data'!C44/'Raw Data'!L44</f>
        <v>-2.6462983333571275</v>
      </c>
      <c r="D46" s="5">
        <f>'Raw Data'!C44/'Raw Data'!N44</f>
        <v>4.6572795224419128</v>
      </c>
      <c r="E46" s="12">
        <f>'Raw Data'!J44/'Raw Data'!M44</f>
        <v>0.11219227613284335</v>
      </c>
      <c r="F46" s="11">
        <f>'Raw Data'!I44/('Raw Data'!M44+'Raw Data'!E44)</f>
        <v>0.14522415932532259</v>
      </c>
      <c r="G46" s="5">
        <f>'Raw Data'!E44/'Raw Data'!M44</f>
        <v>-0.18758404633863585</v>
      </c>
      <c r="H46" s="5">
        <f>'Raw Data'!I44/'Raw Data'!Q44</f>
        <v>186.98215286769229</v>
      </c>
      <c r="I46" s="11">
        <f>'Raw Data'!I44/'Raw Data'!O44</f>
        <v>-1.2290082581393922</v>
      </c>
      <c r="J46" s="11">
        <f>IFERROR('Raw Data'!J44/'Raw Data'!O44, "")</f>
        <v>-1.1686930079672371</v>
      </c>
      <c r="K46" s="11">
        <f>'Raw Data'!R44/'Raw Data'!C44</f>
        <v>-0.37788634312118063</v>
      </c>
      <c r="L46" s="5">
        <f t="shared" si="5"/>
        <v>23</v>
      </c>
      <c r="M46" s="5">
        <f t="shared" si="3"/>
        <v>42</v>
      </c>
      <c r="N46" s="5">
        <f t="shared" si="6"/>
        <v>8</v>
      </c>
      <c r="O46" s="5">
        <f t="shared" si="7"/>
        <v>58</v>
      </c>
      <c r="P46" s="5">
        <f t="shared" si="4"/>
        <v>32.75</v>
      </c>
    </row>
    <row r="47" spans="1:16" x14ac:dyDescent="0.3">
      <c r="A47" s="5" t="str">
        <f>'Raw Data'!B45</f>
        <v>Sugs Lloyd Limited</v>
      </c>
      <c r="B47" s="5">
        <f>('Raw Data'!D45+'Raw Data'!E45-'Raw Data'!F45)/'Raw Data'!H45</f>
        <v>8.5746238774933996</v>
      </c>
      <c r="C47" s="5">
        <f>'Raw Data'!C45/'Raw Data'!L45</f>
        <v>15.441733562669622</v>
      </c>
      <c r="D47" s="5">
        <f>'Raw Data'!C45/'Raw Data'!N45</f>
        <v>2.7615934894847745</v>
      </c>
      <c r="E47" s="12">
        <f>'Raw Data'!J45/'Raw Data'!M45</f>
        <v>0.22074518595753861</v>
      </c>
      <c r="F47" s="11">
        <f>'Raw Data'!I45/('Raw Data'!M45+'Raw Data'!E45)</f>
        <v>0.18877279542776434</v>
      </c>
      <c r="G47" s="5">
        <f>'Raw Data'!E45/'Raw Data'!M45</f>
        <v>0.84008365448470435</v>
      </c>
      <c r="H47" s="5">
        <f>'Raw Data'!I45/'Raw Data'!Q45</f>
        <v>-590.24995846779666</v>
      </c>
      <c r="I47" s="11">
        <f>'Raw Data'!I45/'Raw Data'!O45</f>
        <v>0.14589780165487345</v>
      </c>
      <c r="J47" s="11">
        <f>IFERROR('Raw Data'!J45/'Raw Data'!O45, "")</f>
        <v>9.2717777916545535E-2</v>
      </c>
      <c r="K47" s="11">
        <f>'Raw Data'!R45/'Raw Data'!C45</f>
        <v>6.4759568343900134E-2</v>
      </c>
      <c r="L47" s="5">
        <f t="shared" si="5"/>
        <v>27.333333333333332</v>
      </c>
      <c r="M47" s="5">
        <f t="shared" si="3"/>
        <v>23.75</v>
      </c>
      <c r="N47" s="5">
        <f t="shared" si="6"/>
        <v>48.5</v>
      </c>
      <c r="O47" s="5">
        <f t="shared" si="7"/>
        <v>17</v>
      </c>
      <c r="P47" s="5">
        <f t="shared" si="4"/>
        <v>29.145833333333332</v>
      </c>
    </row>
    <row r="48" spans="1:16" x14ac:dyDescent="0.3">
      <c r="A48" s="5" t="str">
        <f>'Raw Data'!B46</f>
        <v>Ujaas Energy Limited</v>
      </c>
      <c r="B48" s="5">
        <f>('Raw Data'!D46+'Raw Data'!E46-'Raw Data'!F46)/'Raw Data'!H46</f>
        <v>-1306.1289159095313</v>
      </c>
      <c r="C48" s="5">
        <f>'Raw Data'!C46/'Raw Data'!L46</f>
        <v>222.14314800566257</v>
      </c>
      <c r="D48" s="5">
        <f>'Raw Data'!C46/'Raw Data'!N46</f>
        <v>29.878085394515999</v>
      </c>
      <c r="E48" s="12">
        <f>'Raw Data'!J46/'Raw Data'!M46</f>
        <v>-0.77459109746385968</v>
      </c>
      <c r="F48" s="11">
        <f>'Raw Data'!I46/('Raw Data'!M46+'Raw Data'!E46)</f>
        <v>1.0112111497187612E-2</v>
      </c>
      <c r="G48" s="5">
        <f>'Raw Data'!E46/'Raw Data'!M46</f>
        <v>-2.4716712605481228</v>
      </c>
      <c r="H48" s="5">
        <f>'Raw Data'!I46/'Raw Data'!Q46</f>
        <v>-0.41402757245901634</v>
      </c>
      <c r="I48" s="11">
        <f>'Raw Data'!I46/'Raw Data'!O46</f>
        <v>6.2029904331310929E-3</v>
      </c>
      <c r="J48" s="11">
        <f>IFERROR('Raw Data'!J46/'Raw Data'!O46, "")</f>
        <v>0.32286498964634935</v>
      </c>
      <c r="K48" s="11">
        <f>'Raw Data'!R46/'Raw Data'!C46</f>
        <v>4.5016018228683308E-3</v>
      </c>
      <c r="L48" s="5">
        <f t="shared" si="5"/>
        <v>40</v>
      </c>
      <c r="M48" s="5">
        <f t="shared" si="3"/>
        <v>38.25</v>
      </c>
      <c r="N48" s="5">
        <f t="shared" si="6"/>
        <v>9</v>
      </c>
      <c r="O48" s="5">
        <f t="shared" si="7"/>
        <v>49</v>
      </c>
      <c r="P48" s="5">
        <f t="shared" si="4"/>
        <v>34.0625</v>
      </c>
    </row>
    <row r="49" spans="1:16" x14ac:dyDescent="0.3">
      <c r="A49" s="5" t="str">
        <f>'Raw Data'!B47</f>
        <v>K.P. Energy Limited</v>
      </c>
      <c r="B49" s="5">
        <f>('Raw Data'!D47+'Raw Data'!E47-'Raw Data'!F47)/'Raw Data'!H47</f>
        <v>11.766423454296142</v>
      </c>
      <c r="C49" s="5">
        <f>'Raw Data'!C47/'Raw Data'!L47</f>
        <v>16.995770066461333</v>
      </c>
      <c r="D49" s="5">
        <f>'Raw Data'!C47/'Raw Data'!N47</f>
        <v>6.0149247614563297</v>
      </c>
      <c r="E49" s="12">
        <f>'Raw Data'!J47/'Raw Data'!M47</f>
        <v>0.39651643036007533</v>
      </c>
      <c r="F49" s="11">
        <f>'Raw Data'!I47/('Raw Data'!M47+'Raw Data'!E47)</f>
        <v>0.26428625149098395</v>
      </c>
      <c r="G49" s="5">
        <f>'Raw Data'!E47/'Raw Data'!M47</f>
        <v>1.3621101305250551</v>
      </c>
      <c r="H49" s="5">
        <f>'Raw Data'!I47/'Raw Data'!Q47</f>
        <v>-581.32448163147546</v>
      </c>
      <c r="I49" s="11">
        <f>'Raw Data'!I47/'Raw Data'!O47</f>
        <v>0.18554534863872507</v>
      </c>
      <c r="J49" s="11">
        <f>IFERROR('Raw Data'!J47/'Raw Data'!O47, "")</f>
        <v>0.11785188846846624</v>
      </c>
      <c r="K49" s="11">
        <f>'Raw Data'!R47/'Raw Data'!C47</f>
        <v>5.8838169502737264E-2</v>
      </c>
      <c r="L49" s="5">
        <f t="shared" si="5"/>
        <v>38.666666666666664</v>
      </c>
      <c r="M49" s="5">
        <f t="shared" si="3"/>
        <v>17</v>
      </c>
      <c r="N49" s="5">
        <f t="shared" si="6"/>
        <v>50</v>
      </c>
      <c r="O49" s="5">
        <f t="shared" si="7"/>
        <v>20</v>
      </c>
      <c r="P49" s="5">
        <f t="shared" si="4"/>
        <v>31.416666666666664</v>
      </c>
    </row>
    <row r="50" spans="1:16" x14ac:dyDescent="0.3">
      <c r="A50" s="5" t="str">
        <f>'Raw Data'!B48</f>
        <v>Ravindra Energy Limited</v>
      </c>
      <c r="B50" s="5">
        <f>('Raw Data'!D48+'Raw Data'!E48-'Raw Data'!F48)/'Raw Data'!H48</f>
        <v>80.933961940035587</v>
      </c>
      <c r="C50" s="5">
        <f>'Raw Data'!C48/'Raw Data'!L48</f>
        <v>-42.952804930563801</v>
      </c>
      <c r="D50" s="5">
        <f>'Raw Data'!C48/'Raw Data'!N48</f>
        <v>15.725191147602029</v>
      </c>
      <c r="E50" s="12">
        <f>'Raw Data'!J48/'Raw Data'!M48</f>
        <v>0.19751422486710721</v>
      </c>
      <c r="F50" s="11">
        <f>'Raw Data'!I48/('Raw Data'!M48+'Raw Data'!E48)</f>
        <v>-0.12205839516968049</v>
      </c>
      <c r="G50" s="5">
        <f>'Raw Data'!E48/'Raw Data'!M48</f>
        <v>-0.36631684585117413</v>
      </c>
      <c r="H50" s="5">
        <f>'Raw Data'!I48/'Raw Data'!Q48</f>
        <v>-620.77668737684201</v>
      </c>
      <c r="I50" s="11">
        <f>'Raw Data'!I48/'Raw Data'!O48</f>
        <v>0.25937920694884281</v>
      </c>
      <c r="J50" s="11">
        <f>IFERROR('Raw Data'!J48/'Raw Data'!O48, "")</f>
        <v>-0.66235942322437924</v>
      </c>
      <c r="K50" s="11">
        <f>'Raw Data'!R48/'Raw Data'!C48</f>
        <v>-2.3281366644543229E-2</v>
      </c>
      <c r="L50" s="5">
        <f t="shared" si="5"/>
        <v>38.333333333333336</v>
      </c>
      <c r="M50" s="5">
        <f t="shared" si="3"/>
        <v>35.75</v>
      </c>
      <c r="N50" s="5">
        <f t="shared" si="6"/>
        <v>35</v>
      </c>
      <c r="O50" s="5">
        <f t="shared" si="7"/>
        <v>52</v>
      </c>
      <c r="P50" s="5">
        <f t="shared" si="4"/>
        <v>40.270833333333336</v>
      </c>
    </row>
    <row r="51" spans="1:16" x14ac:dyDescent="0.3">
      <c r="A51" s="5" t="str">
        <f>'Raw Data'!B49</f>
        <v>Inox Green Energy Services Limited</v>
      </c>
      <c r="B51" s="5">
        <f>('Raw Data'!D49+'Raw Data'!E49-'Raw Data'!F49)/'Raw Data'!H49</f>
        <v>230.55054620492231</v>
      </c>
      <c r="C51" s="5">
        <f>'Raw Data'!C49/'Raw Data'!L49</f>
        <v>120.8131923755422</v>
      </c>
      <c r="D51" s="5">
        <f>'Raw Data'!C49/'Raw Data'!N49</f>
        <v>3.5646290700952328</v>
      </c>
      <c r="E51" s="12">
        <f>'Raw Data'!J49/'Raw Data'!M49</f>
        <v>-0.17007538597053073</v>
      </c>
      <c r="F51" s="11">
        <f>'Raw Data'!I49/('Raw Data'!M49+'Raw Data'!E49)</f>
        <v>6.4808026194633064E-2</v>
      </c>
      <c r="G51" s="5">
        <f>'Raw Data'!E49/'Raw Data'!M49</f>
        <v>-0.27165921845949281</v>
      </c>
      <c r="H51" s="5">
        <f>'Raw Data'!I49/'Raw Data'!Q49</f>
        <v>1.8358941090621912</v>
      </c>
      <c r="I51" s="11">
        <f>'Raw Data'!I49/'Raw Data'!O49</f>
        <v>-6.0902673207365358E-2</v>
      </c>
      <c r="J51" s="11">
        <f>IFERROR('Raw Data'!J49/'Raw Data'!O49, "")</f>
        <v>0.21943929447543511</v>
      </c>
      <c r="K51" s="11">
        <f>'Raw Data'!R49/'Raw Data'!C49</f>
        <v>8.2772417509798628E-3</v>
      </c>
      <c r="L51" s="5">
        <f t="shared" si="5"/>
        <v>52.333333333333336</v>
      </c>
      <c r="M51" s="5">
        <f t="shared" si="3"/>
        <v>38.25</v>
      </c>
      <c r="N51" s="5">
        <f t="shared" si="6"/>
        <v>11</v>
      </c>
      <c r="O51" s="5">
        <f t="shared" si="7"/>
        <v>45</v>
      </c>
      <c r="P51" s="5">
        <f t="shared" si="4"/>
        <v>36.645833333333336</v>
      </c>
    </row>
    <row r="52" spans="1:16" x14ac:dyDescent="0.3">
      <c r="A52" s="5" t="str">
        <f>'Raw Data'!B50</f>
        <v>KPI Green Energy Limited</v>
      </c>
      <c r="B52" s="5">
        <f>('Raw Data'!D50+'Raw Data'!E50-'Raw Data'!F50)/'Raw Data'!H50</f>
        <v>14.083948477925437</v>
      </c>
      <c r="C52" s="5">
        <f>'Raw Data'!C50/'Raw Data'!L50</f>
        <v>22.050734283964363</v>
      </c>
      <c r="D52" s="5">
        <f>'Raw Data'!C50/'Raw Data'!N50</f>
        <v>2.8761562785009072</v>
      </c>
      <c r="E52" s="12">
        <f>'Raw Data'!J50/'Raw Data'!M50</f>
        <v>0.55499476766121558</v>
      </c>
      <c r="F52" s="11">
        <f>'Raw Data'!I50/('Raw Data'!M50+'Raw Data'!E50)</f>
        <v>0.26357069552570889</v>
      </c>
      <c r="G52" s="5">
        <f>'Raw Data'!E50/'Raw Data'!M50</f>
        <v>2.2439262043871144</v>
      </c>
      <c r="H52" s="5">
        <f>'Raw Data'!I50/'Raw Data'!Q50</f>
        <v>-6.1756094675242856</v>
      </c>
      <c r="I52" s="11">
        <f>'Raw Data'!I50/'Raw Data'!O50</f>
        <v>0.28234295014795036</v>
      </c>
      <c r="J52" s="11">
        <f>IFERROR('Raw Data'!J50/'Raw Data'!O50, "")</f>
        <v>0.18327268752554199</v>
      </c>
      <c r="K52" s="11">
        <f>'Raw Data'!R50/'Raw Data'!C50</f>
        <v>4.534996373010651E-2</v>
      </c>
      <c r="L52" s="5">
        <f t="shared" si="5"/>
        <v>37.666666666666664</v>
      </c>
      <c r="M52" s="5">
        <f t="shared" si="3"/>
        <v>11.75</v>
      </c>
      <c r="N52" s="5">
        <f t="shared" si="6"/>
        <v>45.5</v>
      </c>
      <c r="O52" s="5">
        <f t="shared" si="7"/>
        <v>25</v>
      </c>
      <c r="P52" s="5">
        <f t="shared" si="4"/>
        <v>29.979166666666664</v>
      </c>
    </row>
    <row r="53" spans="1:16" x14ac:dyDescent="0.3">
      <c r="A53" s="5" t="str">
        <f>'Raw Data'!B51</f>
        <v>Waaree Renewable Technologies Limited</v>
      </c>
      <c r="B53" s="5">
        <f>('Raw Data'!D51+'Raw Data'!E51-'Raw Data'!F51)/'Raw Data'!H51</f>
        <v>29.577114217111504</v>
      </c>
      <c r="C53" s="5">
        <f>'Raw Data'!C51/'Raw Data'!L51</f>
        <v>40.848805918107701</v>
      </c>
      <c r="D53" s="5">
        <f>'Raw Data'!C51/'Raw Data'!N51</f>
        <v>20.554740429385919</v>
      </c>
      <c r="E53" s="12">
        <f>'Raw Data'!J51/'Raw Data'!M51</f>
        <v>1.1167918676933886</v>
      </c>
      <c r="F53" s="11">
        <f>'Raw Data'!I51/('Raw Data'!M51+'Raw Data'!E51)</f>
        <v>1.3094244670940252</v>
      </c>
      <c r="G53" s="5">
        <f>'Raw Data'!E51/'Raw Data'!M51</f>
        <v>0.13339701738317258</v>
      </c>
      <c r="H53" s="5">
        <f>'Raw Data'!I51/'Raw Data'!Q51</f>
        <v>-19.692367001605113</v>
      </c>
      <c r="I53" s="11">
        <f>'Raw Data'!I51/'Raw Data'!O51</f>
        <v>0.19059984620544171</v>
      </c>
      <c r="J53" s="11">
        <f>IFERROR('Raw Data'!J51/'Raw Data'!O51, "")</f>
        <v>0.14342744818202791</v>
      </c>
      <c r="K53" s="11">
        <f>'Raw Data'!R51/'Raw Data'!C51</f>
        <v>2.4480519748968085E-2</v>
      </c>
      <c r="L53" s="5">
        <f t="shared" si="5"/>
        <v>51.333333333333336</v>
      </c>
      <c r="M53" s="5">
        <f t="shared" si="3"/>
        <v>9.75</v>
      </c>
      <c r="N53" s="5">
        <f t="shared" si="6"/>
        <v>36.5</v>
      </c>
      <c r="O53" s="5">
        <f t="shared" si="7"/>
        <v>37</v>
      </c>
      <c r="P53" s="5">
        <f t="shared" si="4"/>
        <v>33.645833333333336</v>
      </c>
    </row>
    <row r="54" spans="1:16" x14ac:dyDescent="0.3">
      <c r="A54" s="5" t="str">
        <f>'Raw Data'!B52</f>
        <v>Reliance Power Limited</v>
      </c>
      <c r="B54" s="5">
        <f>('Raw Data'!D52+'Raw Data'!E52-'Raw Data'!F52)/'Raw Data'!H52</f>
        <v>21.944769704949799</v>
      </c>
      <c r="C54" s="5">
        <f>'Raw Data'!C52/'Raw Data'!L52</f>
        <v>-6.6845361299446715</v>
      </c>
      <c r="D54" s="5">
        <f>'Raw Data'!C52/'Raw Data'!N52</f>
        <v>1.0762588898003262</v>
      </c>
      <c r="E54" s="12">
        <f>'Raw Data'!J52/'Raw Data'!M52</f>
        <v>1.3822371680292009</v>
      </c>
      <c r="F54" s="11">
        <f>'Raw Data'!I52/('Raw Data'!M52+'Raw Data'!E52)</f>
        <v>8.9260855269830148E-3</v>
      </c>
      <c r="G54" s="5">
        <f>'Raw Data'!E52/'Raw Data'!M52</f>
        <v>-13.871624321269636</v>
      </c>
      <c r="H54" s="5">
        <f>'Raw Data'!I52/'Raw Data'!Q52</f>
        <v>-0.11663732858710302</v>
      </c>
      <c r="I54" s="11">
        <f>'Raw Data'!I52/'Raw Data'!O52</f>
        <v>1.9500659208406008E-2</v>
      </c>
      <c r="J54" s="11">
        <f>IFERROR('Raw Data'!J52/'Raw Data'!O52, "")</f>
        <v>-0.23460510604096477</v>
      </c>
      <c r="K54" s="11">
        <f>'Raw Data'!R52/'Raw Data'!C52</f>
        <v>-0.14959901189258396</v>
      </c>
      <c r="L54" s="5">
        <f t="shared" si="5"/>
        <v>21.666666666666668</v>
      </c>
      <c r="M54" s="5">
        <f t="shared" si="3"/>
        <v>36.25</v>
      </c>
      <c r="N54" s="5">
        <f t="shared" si="6"/>
        <v>7</v>
      </c>
      <c r="O54" s="5">
        <f t="shared" si="7"/>
        <v>57</v>
      </c>
      <c r="P54" s="5">
        <f t="shared" si="4"/>
        <v>30.479166666666668</v>
      </c>
    </row>
    <row r="55" spans="1:16" x14ac:dyDescent="0.3">
      <c r="A55" s="5" t="str">
        <f>'Raw Data'!B53</f>
        <v>NTPC Green Energy Limited</v>
      </c>
      <c r="B55" s="5">
        <f>('Raw Data'!D53+'Raw Data'!E53-'Raw Data'!F53)/'Raw Data'!H53</f>
        <v>46.826773002847943</v>
      </c>
      <c r="C55" s="5">
        <f>'Raw Data'!C53/'Raw Data'!L53</f>
        <v>131.74038045529437</v>
      </c>
      <c r="D55" s="5">
        <f>'Raw Data'!C53/'Raw Data'!N53</f>
        <v>3.9110188294326003</v>
      </c>
      <c r="E55" s="12">
        <f>'Raw Data'!J53/'Raw Data'!M53</f>
        <v>5.5465435377769073E-2</v>
      </c>
      <c r="F55" s="11">
        <f>'Raw Data'!I53/('Raw Data'!M53+'Raw Data'!E53)</f>
        <v>4.0729300951055883E-2</v>
      </c>
      <c r="G55" s="5">
        <f>'Raw Data'!E53/'Raw Data'!M53</f>
        <v>1.934695295334623</v>
      </c>
      <c r="H55" s="5">
        <f>'Raw Data'!I53/'Raw Data'!Q53</f>
        <v>-1.5451339957891328</v>
      </c>
      <c r="I55" s="11">
        <f>'Raw Data'!I53/'Raw Data'!O53</f>
        <v>0.51963744819566571</v>
      </c>
      <c r="J55" s="11">
        <f>IFERROR('Raw Data'!J53/'Raw Data'!O53, "")</f>
        <v>0.24113091586387508</v>
      </c>
      <c r="K55" s="11">
        <f>'Raw Data'!R53/'Raw Data'!C53</f>
        <v>7.5906870508799422E-3</v>
      </c>
      <c r="L55" s="5">
        <f t="shared" si="5"/>
        <v>52</v>
      </c>
      <c r="M55" s="5">
        <f t="shared" si="3"/>
        <v>23</v>
      </c>
      <c r="N55" s="5">
        <f t="shared" si="6"/>
        <v>36</v>
      </c>
      <c r="O55" s="5">
        <f t="shared" si="7"/>
        <v>46</v>
      </c>
      <c r="P55" s="5">
        <f t="shared" si="4"/>
        <v>39.25</v>
      </c>
    </row>
    <row r="56" spans="1:16" x14ac:dyDescent="0.3">
      <c r="A56" s="5" t="str">
        <f>'Raw Data'!B54</f>
        <v>Power Grid Corporation of India Limited</v>
      </c>
      <c r="B56" s="5">
        <f>('Raw Data'!D54+'Raw Data'!E54-'Raw Data'!F54)/'Raw Data'!H54</f>
        <v>9.7057577106856865</v>
      </c>
      <c r="C56" s="5">
        <f>'Raw Data'!C54/'Raw Data'!L54</f>
        <v>15.985706391390083</v>
      </c>
      <c r="D56" s="5">
        <f>'Raw Data'!C54/'Raw Data'!N54</f>
        <v>2.4562542126830542</v>
      </c>
      <c r="E56" s="12">
        <f>'Raw Data'!J54/'Raw Data'!M54</f>
        <v>0.19570228279290952</v>
      </c>
      <c r="F56" s="11">
        <f>'Raw Data'!I54/('Raw Data'!M54+'Raw Data'!E54)</f>
        <v>0.11883260075278487</v>
      </c>
      <c r="G56" s="5">
        <f>'Raw Data'!E54/'Raw Data'!M54</f>
        <v>1.7982343890621233</v>
      </c>
      <c r="H56" s="5">
        <f>'Raw Data'!I54/'Raw Data'!Q54</f>
        <v>-3.2455376617235991</v>
      </c>
      <c r="I56" s="11">
        <f>'Raw Data'!I54/'Raw Data'!O54</f>
        <v>0.55929563413333849</v>
      </c>
      <c r="J56" s="11">
        <f>IFERROR('Raw Data'!J54/'Raw Data'!O54, "")</f>
        <v>0.32916801542616825</v>
      </c>
      <c r="K56" s="11">
        <f>'Raw Data'!R54/'Raw Data'!C54</f>
        <v>6.2555884332931383E-2</v>
      </c>
      <c r="L56" s="5">
        <f t="shared" si="5"/>
        <v>28.666666666666668</v>
      </c>
      <c r="M56" s="5">
        <f t="shared" si="3"/>
        <v>14.75</v>
      </c>
      <c r="N56" s="5">
        <f t="shared" si="6"/>
        <v>41.5</v>
      </c>
      <c r="O56" s="5">
        <f t="shared" si="7"/>
        <v>19</v>
      </c>
      <c r="P56" s="5">
        <f t="shared" si="4"/>
        <v>25.979166666666668</v>
      </c>
    </row>
    <row r="57" spans="1:16" x14ac:dyDescent="0.3">
      <c r="A57" s="5" t="str">
        <f>'Raw Data'!B55</f>
        <v>Apex Ecotech Limited</v>
      </c>
      <c r="B57" s="5">
        <f>('Raw Data'!D55+'Raw Data'!E55-'Raw Data'!F55)/'Raw Data'!H55</f>
        <v>12.887643865081124</v>
      </c>
      <c r="C57" s="5">
        <f>'Raw Data'!C55/'Raw Data'!L55</f>
        <v>18.667193298607533</v>
      </c>
      <c r="D57" s="5">
        <f>'Raw Data'!C55/'Raw Data'!N55</f>
        <v>3.6659146572431434</v>
      </c>
      <c r="E57" s="12">
        <f>'Raw Data'!J55/'Raw Data'!M55</f>
        <v>0.72101430149336099</v>
      </c>
      <c r="F57" s="11">
        <f>'Raw Data'!I55/('Raw Data'!M55+'Raw Data'!E55)</f>
        <v>0.91387202918245813</v>
      </c>
      <c r="G57" s="5">
        <f>'Raw Data'!E55/'Raw Data'!M55</f>
        <v>6.0171446861028337E-3</v>
      </c>
      <c r="H57" s="5">
        <f>'Raw Data'!I55/'Raw Data'!Q55</f>
        <v>-174.21338054535212</v>
      </c>
      <c r="I57" s="11">
        <f>'Raw Data'!I55/'Raw Data'!O55</f>
        <v>0.14937874256779168</v>
      </c>
      <c r="J57" s="11">
        <f>IFERROR('Raw Data'!J55/'Raw Data'!O55, "")</f>
        <v>0.11714989704969897</v>
      </c>
      <c r="K57" s="11">
        <f>'Raw Data'!R55/'Raw Data'!C55</f>
        <v>5.3569917234134734E-2</v>
      </c>
      <c r="L57" s="5">
        <f t="shared" si="5"/>
        <v>38.333333333333336</v>
      </c>
      <c r="M57" s="5">
        <f t="shared" si="3"/>
        <v>15.25</v>
      </c>
      <c r="N57" s="5">
        <f t="shared" si="6"/>
        <v>35</v>
      </c>
      <c r="O57" s="5">
        <f t="shared" si="7"/>
        <v>23</v>
      </c>
      <c r="P57" s="5">
        <f t="shared" si="4"/>
        <v>27.895833333333336</v>
      </c>
    </row>
    <row r="58" spans="1:16" x14ac:dyDescent="0.3">
      <c r="A58" s="5" t="str">
        <f>'Raw Data'!B56</f>
        <v>Rajasthan Cylinders and Containers Limited</v>
      </c>
      <c r="B58" s="5">
        <f>('Raw Data'!D56+'Raw Data'!E56-'Raw Data'!F56)/'Raw Data'!H56</f>
        <v>-4.9189496282030083</v>
      </c>
      <c r="C58" s="5">
        <f>'Raw Data'!C56/'Raw Data'!L56</f>
        <v>-9.5000860694436113</v>
      </c>
      <c r="D58" s="5">
        <f>'Raw Data'!C56/'Raw Data'!N56</f>
        <v>0.79487937255165197</v>
      </c>
      <c r="E58" s="12">
        <f>'Raw Data'!J56/'Raw Data'!M56</f>
        <v>-0.12011115819669459</v>
      </c>
      <c r="F58" s="11">
        <f>'Raw Data'!I56/('Raw Data'!M56+'Raw Data'!E56)</f>
        <v>-0.2291594652635596</v>
      </c>
      <c r="G58" s="5">
        <f>'Raw Data'!E56/'Raw Data'!M56</f>
        <v>4.205593767317535E-2</v>
      </c>
      <c r="H58" s="5">
        <f>'Raw Data'!I56/'Raw Data'!Q56</f>
        <v>65.856333203999995</v>
      </c>
      <c r="I58" s="11">
        <f>'Raw Data'!I56/'Raw Data'!O56</f>
        <v>-28.633188349565213</v>
      </c>
      <c r="J58" s="11">
        <f>IFERROR('Raw Data'!J56/'Raw Data'!O56, "")</f>
        <v>-14.402047273043475</v>
      </c>
      <c r="K58" s="11">
        <f>'Raw Data'!R56/'Raw Data'!C56</f>
        <v>-0.10526220422533147</v>
      </c>
      <c r="L58" s="5">
        <f t="shared" si="5"/>
        <v>8</v>
      </c>
      <c r="M58" s="5">
        <f>AVERAGE(
_xlfn.RANK.EQ(E58,$E$9:$E$67,0),
_xlfn.RANK.EQ(F58,$F$9:$F$67,0),
_xlfn.RANK.EQ(I58,$I$9:$I$67,0),
_xlfn.RANK.EQ(J58,$J$9:$J$67,0)
)</f>
        <v>55.75</v>
      </c>
      <c r="N58" s="5">
        <f t="shared" si="6"/>
        <v>14</v>
      </c>
      <c r="O58" s="5">
        <f t="shared" si="7"/>
        <v>56</v>
      </c>
      <c r="P58" s="5">
        <f t="shared" si="4"/>
        <v>33.4375</v>
      </c>
    </row>
    <row r="59" spans="1:16" x14ac:dyDescent="0.3">
      <c r="A59" s="5" t="str">
        <f>'Raw Data'!B57</f>
        <v>Rudra Gas Enterprise Limited</v>
      </c>
      <c r="B59" s="5">
        <f>('Raw Data'!D57+'Raw Data'!E57-'Raw Data'!F57)/'Raw Data'!H57</f>
        <v>10.471657416979584</v>
      </c>
      <c r="C59" s="5">
        <f>'Raw Data'!C57/'Raw Data'!L57</f>
        <v>18.287455554239202</v>
      </c>
      <c r="D59" s="5">
        <f>'Raw Data'!C57/'Raw Data'!N57</f>
        <v>2.9830930415432251</v>
      </c>
      <c r="E59" s="12">
        <f>'Raw Data'!J57/'Raw Data'!M57</f>
        <v>0.611610862334659</v>
      </c>
      <c r="F59" s="11">
        <f>'Raw Data'!I57/('Raw Data'!M57+'Raw Data'!E57)</f>
        <v>0.31482469946715164</v>
      </c>
      <c r="G59" s="5">
        <f>'Raw Data'!E57/'Raw Data'!M57</f>
        <v>2.6922056395679861</v>
      </c>
      <c r="H59" s="5">
        <f>'Raw Data'!I57/'Raw Data'!Q57</f>
        <v>-2.6497037534448156</v>
      </c>
      <c r="I59" s="11">
        <f>'Raw Data'!I57/'Raw Data'!O57</f>
        <v>0.12351956348672408</v>
      </c>
      <c r="J59" s="11">
        <f>IFERROR('Raw Data'!J57/'Raw Data'!O57, "")</f>
        <v>6.4991454932125353E-2</v>
      </c>
      <c r="K59" s="11">
        <f>'Raw Data'!R57/'Raw Data'!C57</f>
        <v>5.4682292844626529E-2</v>
      </c>
      <c r="L59" s="5">
        <f t="shared" si="5"/>
        <v>33.333333333333336</v>
      </c>
      <c r="M59" s="5">
        <f t="shared" si="3"/>
        <v>22</v>
      </c>
      <c r="N59" s="5">
        <f t="shared" si="6"/>
        <v>42.5</v>
      </c>
      <c r="O59" s="5">
        <f t="shared" si="7"/>
        <v>22</v>
      </c>
      <c r="P59" s="5">
        <f t="shared" si="4"/>
        <v>29.958333333333336</v>
      </c>
    </row>
    <row r="60" spans="1:16" x14ac:dyDescent="0.3">
      <c r="A60" s="5" t="str">
        <f>'Raw Data'!B58</f>
        <v>Positron Energy Limited</v>
      </c>
      <c r="B60" s="5">
        <f>('Raw Data'!D58+'Raw Data'!E58-'Raw Data'!F58)/'Raw Data'!H58</f>
        <v>6.2107860127530525</v>
      </c>
      <c r="C60" s="5">
        <f>'Raw Data'!C58/'Raw Data'!L58</f>
        <v>8.8038215161686058</v>
      </c>
      <c r="D60" s="5">
        <f>'Raw Data'!C58/'Raw Data'!N58</f>
        <v>1.89915225678572</v>
      </c>
      <c r="E60" s="12">
        <f>'Raw Data'!J58/'Raw Data'!M58</f>
        <v>0.63920052955568496</v>
      </c>
      <c r="F60" s="11">
        <f>'Raw Data'!I58/('Raw Data'!M58+'Raw Data'!E58)</f>
        <v>0.51347804909197325</v>
      </c>
      <c r="G60" s="5">
        <f>'Raw Data'!E58/'Raw Data'!M58</f>
        <v>0.19290601865972426</v>
      </c>
      <c r="H60" s="5">
        <f>'Raw Data'!I58/'Raw Data'!Q58</f>
        <v>-51.004376644198246</v>
      </c>
      <c r="I60" s="11">
        <f>'Raw Data'!I58/'Raw Data'!O58</f>
        <v>4.0780628216141916E-2</v>
      </c>
      <c r="J60" s="11">
        <f>IFERROR('Raw Data'!J58/'Raw Data'!O58, "")</f>
        <v>4.2556208260121832E-2</v>
      </c>
      <c r="K60" s="11">
        <f>'Raw Data'!R58/'Raw Data'!C58</f>
        <v>0.11358703696610115</v>
      </c>
      <c r="L60" s="5">
        <f t="shared" si="5"/>
        <v>20.333333333333332</v>
      </c>
      <c r="M60" s="5">
        <f t="shared" si="3"/>
        <v>25.25</v>
      </c>
      <c r="N60" s="5">
        <f t="shared" si="6"/>
        <v>40</v>
      </c>
      <c r="O60" s="5">
        <f t="shared" si="7"/>
        <v>6</v>
      </c>
      <c r="P60" s="5">
        <f t="shared" si="4"/>
        <v>22.895833333333332</v>
      </c>
    </row>
    <row r="61" spans="1:16" x14ac:dyDescent="0.3">
      <c r="A61" s="5" t="str">
        <f>'Raw Data'!B59</f>
        <v>Mahanagar Gas Limited</v>
      </c>
      <c r="B61" s="5">
        <f>('Raw Data'!D59+'Raw Data'!E59-'Raw Data'!F59)/'Raw Data'!H59</f>
        <v>7.2078981381422045</v>
      </c>
      <c r="C61" s="5">
        <f>'Raw Data'!C59/'Raw Data'!L59</f>
        <v>11.250369816125291</v>
      </c>
      <c r="D61" s="5">
        <f>'Raw Data'!C59/'Raw Data'!N59</f>
        <v>1.7660404169796047</v>
      </c>
      <c r="E61" s="12">
        <f>'Raw Data'!J59/'Raw Data'!M59</f>
        <v>0.15951393093368998</v>
      </c>
      <c r="F61" s="11">
        <f>'Raw Data'!I59/('Raw Data'!M59+'Raw Data'!E59)</f>
        <v>0.18592330586484748</v>
      </c>
      <c r="G61" s="5">
        <f>'Raw Data'!E59/'Raw Data'!M59</f>
        <v>3.6109815929107635E-2</v>
      </c>
      <c r="H61" s="5">
        <f>'Raw Data'!I59/'Raw Data'!Q59</f>
        <v>-67.209496122182486</v>
      </c>
      <c r="I61" s="11">
        <f>'Raw Data'!I59/'Raw Data'!O59</f>
        <v>0.1481473089913255</v>
      </c>
      <c r="J61" s="11">
        <f>IFERROR('Raw Data'!J59/'Raw Data'!O59, "")</f>
        <v>0.1226740670250408</v>
      </c>
      <c r="K61" s="11">
        <f>'Raw Data'!R59/'Raw Data'!C59</f>
        <v>8.8885966980986525E-2</v>
      </c>
      <c r="L61" s="5">
        <f t="shared" si="5"/>
        <v>20.666666666666668</v>
      </c>
      <c r="M61" s="5">
        <f t="shared" si="3"/>
        <v>24.25</v>
      </c>
      <c r="N61" s="5">
        <f t="shared" si="6"/>
        <v>36.5</v>
      </c>
      <c r="O61" s="5">
        <f t="shared" si="7"/>
        <v>10</v>
      </c>
      <c r="P61" s="5">
        <f t="shared" si="4"/>
        <v>22.854166666666668</v>
      </c>
    </row>
    <row r="62" spans="1:16" x14ac:dyDescent="0.3">
      <c r="A62" s="5" t="str">
        <f>'Raw Data'!B60</f>
        <v>Gujarat State Petronet Limited</v>
      </c>
      <c r="B62" s="5">
        <f>('Raw Data'!D60+'Raw Data'!E60-'Raw Data'!F60)/'Raw Data'!H60</f>
        <v>5.4409234579720236</v>
      </c>
      <c r="C62" s="5">
        <f>'Raw Data'!C60/'Raw Data'!L60</f>
        <v>15.288421075866887</v>
      </c>
      <c r="D62" s="5">
        <f>'Raw Data'!C60/'Raw Data'!N60</f>
        <v>1.3186267574649675</v>
      </c>
      <c r="E62" s="12">
        <f>'Raw Data'!J60/'Raw Data'!M60</f>
        <v>7.1624321761293241E-2</v>
      </c>
      <c r="F62" s="11">
        <f>'Raw Data'!I60/('Raw Data'!M60+'Raw Data'!E60)</f>
        <v>0.12185189527204741</v>
      </c>
      <c r="G62" s="5">
        <f>'Raw Data'!E60/'Raw Data'!M60</f>
        <v>9.7162639854006076E-3</v>
      </c>
      <c r="H62" s="5">
        <f>'Raw Data'!I60/'Raw Data'!Q60</f>
        <v>-47.429430147095132</v>
      </c>
      <c r="I62" s="11">
        <f>'Raw Data'!I60/'Raw Data'!O60</f>
        <v>0.10552066037906442</v>
      </c>
      <c r="J62" s="11">
        <f>IFERROR('Raw Data'!J60/'Raw Data'!O60, "")</f>
        <v>6.1428001008393567E-2</v>
      </c>
      <c r="K62" s="11">
        <f>'Raw Data'!R60/'Raw Data'!C60</f>
        <v>6.5408978143499871E-2</v>
      </c>
      <c r="L62" s="5">
        <f t="shared" si="5"/>
        <v>18.333333333333332</v>
      </c>
      <c r="M62" s="5">
        <f t="shared" si="3"/>
        <v>34.75</v>
      </c>
      <c r="N62" s="5">
        <f t="shared" si="6"/>
        <v>34</v>
      </c>
      <c r="O62" s="5">
        <f t="shared" si="7"/>
        <v>15</v>
      </c>
      <c r="P62" s="5">
        <f t="shared" si="4"/>
        <v>25.520833333333332</v>
      </c>
    </row>
    <row r="63" spans="1:16" x14ac:dyDescent="0.3">
      <c r="A63" s="5" t="str">
        <f>'Raw Data'!B61</f>
        <v>Indraprastha Gas Limited</v>
      </c>
      <c r="B63" s="5">
        <f>('Raw Data'!D61+'Raw Data'!E61-'Raw Data'!F61)/'Raw Data'!H61</f>
        <v>12.748115593898858</v>
      </c>
      <c r="C63" s="5">
        <f>'Raw Data'!C61/'Raw Data'!L61</f>
        <v>14.756107635916536</v>
      </c>
      <c r="D63" s="5">
        <f>'Raw Data'!C61/'Raw Data'!N61</f>
        <v>2.3152273132463193</v>
      </c>
      <c r="E63" s="12">
        <f>'Raw Data'!J61/'Raw Data'!M61</f>
        <v>0.16059533470246171</v>
      </c>
      <c r="F63" s="11">
        <f>'Raw Data'!I61/('Raw Data'!M61+'Raw Data'!E61)</f>
        <v>0.1358562044833603</v>
      </c>
      <c r="G63" s="5">
        <f>'Raw Data'!E61/'Raw Data'!M61</f>
        <v>9.0141500494090535E-3</v>
      </c>
      <c r="H63" s="5">
        <f>'Raw Data'!I61/'Raw Data'!Q61</f>
        <v>-181.31094666045965</v>
      </c>
      <c r="I63" s="11">
        <f>'Raw Data'!I61/'Raw Data'!O61</f>
        <v>9.2771033294790028E-2</v>
      </c>
      <c r="J63" s="11">
        <f>IFERROR('Raw Data'!J61/'Raw Data'!O61, "")</f>
        <v>0.1086847435172866</v>
      </c>
      <c r="K63" s="11">
        <f>'Raw Data'!R61/'Raw Data'!C61</f>
        <v>6.7768548771356782E-2</v>
      </c>
      <c r="L63" s="5">
        <f t="shared" si="5"/>
        <v>30.333333333333332</v>
      </c>
      <c r="M63" s="5">
        <f t="shared" si="3"/>
        <v>29.25</v>
      </c>
      <c r="N63" s="5">
        <f t="shared" si="6"/>
        <v>36</v>
      </c>
      <c r="O63" s="5">
        <f t="shared" si="7"/>
        <v>14</v>
      </c>
      <c r="P63" s="5">
        <f t="shared" si="4"/>
        <v>27.395833333333332</v>
      </c>
    </row>
    <row r="64" spans="1:16" x14ac:dyDescent="0.3">
      <c r="A64" s="5" t="str">
        <f>'Raw Data'!B62</f>
        <v>Gujarat Gas Limited</v>
      </c>
      <c r="B64" s="5">
        <f>('Raw Data'!D62+'Raw Data'!E62-'Raw Data'!F62)/'Raw Data'!H62</f>
        <v>14.050528825964991</v>
      </c>
      <c r="C64" s="5">
        <f>'Raw Data'!C62/'Raw Data'!L62</f>
        <v>23.893366708513526</v>
      </c>
      <c r="D64" s="5">
        <f>'Raw Data'!C62/'Raw Data'!N62</f>
        <v>3.0663779299934282</v>
      </c>
      <c r="E64" s="12">
        <f>'Raw Data'!J62/'Raw Data'!M62</f>
        <v>0.14141877809780382</v>
      </c>
      <c r="F64" s="11">
        <f>'Raw Data'!I62/('Raw Data'!M62+'Raw Data'!E62)</f>
        <v>0.17148234141897217</v>
      </c>
      <c r="G64" s="5">
        <f>'Raw Data'!E62/'Raw Data'!M62</f>
        <v>1.9160805206967935E-2</v>
      </c>
      <c r="H64" s="5">
        <f>'Raw Data'!I62/'Raw Data'!Q62</f>
        <v>-41.655638323678353</v>
      </c>
      <c r="I64" s="11">
        <f>'Raw Data'!I62/'Raw Data'!O62</f>
        <v>8.6396998945228801E-2</v>
      </c>
      <c r="J64" s="11">
        <f>IFERROR('Raw Data'!J62/'Raw Data'!O62, "")</f>
        <v>6.9910695025667879E-2</v>
      </c>
      <c r="K64" s="11">
        <f>'Raw Data'!R62/'Raw Data'!C62</f>
        <v>4.1852620109985868E-2</v>
      </c>
      <c r="L64" s="5">
        <f t="shared" si="5"/>
        <v>40</v>
      </c>
      <c r="M64" s="5">
        <f t="shared" si="3"/>
        <v>31.5</v>
      </c>
      <c r="N64" s="5">
        <f t="shared" si="6"/>
        <v>34</v>
      </c>
      <c r="O64" s="5">
        <f t="shared" si="7"/>
        <v>29</v>
      </c>
      <c r="P64" s="5">
        <f t="shared" si="4"/>
        <v>33.625</v>
      </c>
    </row>
    <row r="65" spans="1:16" x14ac:dyDescent="0.3">
      <c r="A65" s="5" t="str">
        <f>'Raw Data'!B63</f>
        <v>Petronet LNG Limited</v>
      </c>
      <c r="B65" s="5">
        <f>('Raw Data'!D63+'Raw Data'!E63-'Raw Data'!F63)/'Raw Data'!H63</f>
        <v>7.8157435842280583</v>
      </c>
      <c r="C65" s="5">
        <f>'Raw Data'!C63/'Raw Data'!L63</f>
        <v>10.455674686288381</v>
      </c>
      <c r="D65" s="5">
        <f>'Raw Data'!C63/'Raw Data'!N63</f>
        <v>1.9499401585953218</v>
      </c>
      <c r="E65" s="12">
        <f>'Raw Data'!J63/'Raw Data'!M63</f>
        <v>0.20113269554068902</v>
      </c>
      <c r="F65" s="11">
        <f>'Raw Data'!I63/('Raw Data'!M63+'Raw Data'!E63)</f>
        <v>0.20392187225958436</v>
      </c>
      <c r="G65" s="5">
        <f>'Raw Data'!E63/'Raw Data'!M63</f>
        <v>0.14405827222565681</v>
      </c>
      <c r="H65" s="5">
        <f>'Raw Data'!I63/'Raw Data'!Q63</f>
        <v>-17.025418663865295</v>
      </c>
      <c r="I65" s="11">
        <f>'Raw Data'!I63/'Raw Data'!O63</f>
        <v>8.7007925375509484E-2</v>
      </c>
      <c r="J65" s="11">
        <f>IFERROR('Raw Data'!J63/'Raw Data'!O63, "")</f>
        <v>7.5011790477213125E-2</v>
      </c>
      <c r="K65" s="11">
        <f>'Raw Data'!R63/'Raw Data'!C63</f>
        <v>9.5641843305569213E-2</v>
      </c>
      <c r="L65" s="5">
        <f t="shared" si="5"/>
        <v>22</v>
      </c>
      <c r="M65" s="5">
        <f t="shared" si="3"/>
        <v>26.5</v>
      </c>
      <c r="N65" s="5">
        <f t="shared" si="6"/>
        <v>36.5</v>
      </c>
      <c r="O65" s="5">
        <f t="shared" si="7"/>
        <v>8</v>
      </c>
      <c r="P65" s="5">
        <f t="shared" si="4"/>
        <v>23.25</v>
      </c>
    </row>
    <row r="66" spans="1:16" x14ac:dyDescent="0.3">
      <c r="A66" s="5" t="str">
        <f>'Raw Data'!B64</f>
        <v>Adani Total Gas Limited</v>
      </c>
      <c r="B66" s="5">
        <f>('Raw Data'!D64+'Raw Data'!E64-'Raw Data'!F64)/'Raw Data'!H64</f>
        <v>56.46302169983533</v>
      </c>
      <c r="C66" s="5">
        <f>'Raw Data'!C64/'Raw Data'!L64</f>
        <v>95.170686281323185</v>
      </c>
      <c r="D66" s="5">
        <f>'Raw Data'!C64/'Raw Data'!N64</f>
        <v>14.630762153436965</v>
      </c>
      <c r="E66" s="12">
        <f>'Raw Data'!J64/'Raw Data'!M64</f>
        <v>0.16366047883520066</v>
      </c>
      <c r="F66" s="11">
        <f>'Raw Data'!I64/('Raw Data'!M64+'Raw Data'!E64)</f>
        <v>0.15903374527845207</v>
      </c>
      <c r="G66" s="5">
        <f>'Raw Data'!E64/'Raw Data'!M64</f>
        <v>0.46336068366298294</v>
      </c>
      <c r="H66" s="5">
        <f>'Raw Data'!I64/'Raw Data'!Q64</f>
        <v>-10.369143486777869</v>
      </c>
      <c r="I66" s="11">
        <f>'Raw Data'!I64/'Raw Data'!O64</f>
        <v>0.17603454994143167</v>
      </c>
      <c r="J66" s="11">
        <f>IFERROR('Raw Data'!J64/'Raw Data'!O64, "")</f>
        <v>0.12379441799164319</v>
      </c>
      <c r="K66" s="11">
        <f>'Raw Data'!R64/'Raw Data'!C64</f>
        <v>1.0507437101420224E-2</v>
      </c>
      <c r="L66" s="5">
        <f t="shared" si="5"/>
        <v>54</v>
      </c>
      <c r="M66" s="5">
        <f t="shared" si="3"/>
        <v>23</v>
      </c>
      <c r="N66" s="5">
        <f t="shared" si="6"/>
        <v>37</v>
      </c>
      <c r="O66" s="5">
        <f t="shared" si="7"/>
        <v>43</v>
      </c>
      <c r="P66" s="5">
        <f t="shared" si="4"/>
        <v>39.25</v>
      </c>
    </row>
    <row r="67" spans="1:16" x14ac:dyDescent="0.3">
      <c r="A67" s="5" t="str">
        <f>'Raw Data'!B65</f>
        <v>GAIL (India) Limited</v>
      </c>
      <c r="B67" s="5">
        <f>('Raw Data'!D65+'Raw Data'!E65-'Raw Data'!F65)/'Raw Data'!H65</f>
        <v>8.5797063510103619</v>
      </c>
      <c r="C67" s="5">
        <f>'Raw Data'!C65/'Raw Data'!L65</f>
        <v>9.1066107774333798</v>
      </c>
      <c r="D67" s="5">
        <f>'Raw Data'!C65/'Raw Data'!N65</f>
        <v>1.245444764509744</v>
      </c>
      <c r="E67" s="12">
        <f>'Raw Data'!J65/'Raw Data'!M65</f>
        <v>0.1736061371926983</v>
      </c>
      <c r="F67" s="11">
        <f>'Raw Data'!I65/('Raw Data'!M65+'Raw Data'!E65)</f>
        <v>0.12040907183917737</v>
      </c>
      <c r="G67" s="5">
        <f>'Raw Data'!E65/'Raw Data'!M65</f>
        <v>0.3221955953518606</v>
      </c>
      <c r="H67" s="5">
        <f>'Raw Data'!I65/'Raw Data'!Q65</f>
        <v>-14.054769467249818</v>
      </c>
      <c r="I67" s="11">
        <f>'Raw Data'!I65/'Raw Data'!O65</f>
        <v>7.4895070344087225E-2</v>
      </c>
      <c r="J67" s="11">
        <f>IFERROR('Raw Data'!J65/'Raw Data'!O65, "")</f>
        <v>8.1670157331934015E-2</v>
      </c>
      <c r="K67" s="11">
        <f>'Raw Data'!R65/'Raw Data'!C65</f>
        <v>0.10981033717593906</v>
      </c>
      <c r="L67" s="5">
        <f t="shared" si="5"/>
        <v>17.333333333333332</v>
      </c>
      <c r="M67" s="5">
        <f t="shared" si="3"/>
        <v>31.75</v>
      </c>
      <c r="N67" s="5">
        <f t="shared" si="6"/>
        <v>38.5</v>
      </c>
      <c r="O67" s="5">
        <f t="shared" si="7"/>
        <v>7</v>
      </c>
      <c r="P67" s="5">
        <f t="shared" si="4"/>
        <v>23.645833333333332</v>
      </c>
    </row>
  </sheetData>
  <conditionalFormatting sqref="B6:B1048576">
    <cfRule type="cellIs" dxfId="22" priority="13" operator="between">
      <formula>8</formula>
      <formula>15</formula>
    </cfRule>
    <cfRule type="cellIs" dxfId="21" priority="14" operator="lessThan">
      <formula>0</formula>
    </cfRule>
  </conditionalFormatting>
  <conditionalFormatting sqref="C6:C1048576">
    <cfRule type="cellIs" dxfId="20" priority="12" operator="between">
      <formula>10</formula>
      <formula>25</formula>
    </cfRule>
  </conditionalFormatting>
  <conditionalFormatting sqref="D1:D1048576">
    <cfRule type="cellIs" dxfId="19" priority="11" operator="between">
      <formula>1</formula>
      <formula>3</formula>
    </cfRule>
  </conditionalFormatting>
  <conditionalFormatting sqref="E1:E1048576">
    <cfRule type="cellIs" dxfId="18" priority="10" operator="greaterThan">
      <formula>0.15</formula>
    </cfRule>
  </conditionalFormatting>
  <conditionalFormatting sqref="F1:F1048576">
    <cfRule type="cellIs" dxfId="17" priority="9" operator="greaterThan">
      <formula>0.12</formula>
    </cfRule>
  </conditionalFormatting>
  <conditionalFormatting sqref="G7:G67">
    <cfRule type="cellIs" dxfId="16" priority="1" operator="between">
      <formula>0</formula>
      <formula>1.5</formula>
    </cfRule>
  </conditionalFormatting>
  <conditionalFormatting sqref="H1:H1048576">
    <cfRule type="cellIs" dxfId="15" priority="7" operator="greaterThan">
      <formula>3</formula>
    </cfRule>
  </conditionalFormatting>
  <conditionalFormatting sqref="I1:I1048576">
    <cfRule type="cellIs" dxfId="14" priority="6" operator="lessThan">
      <formula>0</formula>
    </cfRule>
  </conditionalFormatting>
  <conditionalFormatting sqref="J1:J1048576">
    <cfRule type="cellIs" dxfId="13" priority="5" operator="greaterThan">
      <formula>0.08</formula>
    </cfRule>
  </conditionalFormatting>
  <conditionalFormatting sqref="K1:K1048576">
    <cfRule type="cellIs" dxfId="12" priority="4" operator="between">
      <formula>0.01</formula>
      <formula>0.03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3BB4-E340-4283-BEFF-77B3AB5CA0EA}">
  <dimension ref="A5:R127"/>
  <sheetViews>
    <sheetView showGridLines="0" topLeftCell="B63" zoomScale="85" zoomScaleNormal="85" workbookViewId="0">
      <selection activeCell="C69" sqref="C69:M98"/>
    </sheetView>
  </sheetViews>
  <sheetFormatPr defaultRowHeight="14.4" x14ac:dyDescent="0.3"/>
  <cols>
    <col min="1" max="1" width="39.88671875" bestFit="1" customWidth="1"/>
    <col min="2" max="2" width="39.88671875" customWidth="1"/>
    <col min="3" max="3" width="20.88671875" customWidth="1"/>
    <col min="4" max="4" width="21" customWidth="1"/>
    <col min="5" max="5" width="17.44140625" customWidth="1"/>
    <col min="6" max="6" width="22.77734375" customWidth="1"/>
    <col min="7" max="7" width="24.5546875" customWidth="1"/>
    <col min="8" max="8" width="18.6640625" customWidth="1"/>
    <col min="9" max="9" width="19.109375" customWidth="1"/>
    <col min="10" max="10" width="24.5546875" customWidth="1"/>
    <col min="11" max="11" width="16.109375" bestFit="1" customWidth="1"/>
    <col min="12" max="12" width="25.6640625" customWidth="1"/>
    <col min="13" max="13" width="22.33203125" style="24" bestFit="1" customWidth="1"/>
    <col min="14" max="14" width="19.33203125" style="24" bestFit="1" customWidth="1"/>
    <col min="15" max="15" width="16.5546875" style="24" bestFit="1" customWidth="1"/>
    <col min="16" max="16" width="17.88671875" style="24" bestFit="1" customWidth="1"/>
    <col min="17" max="17" width="18.21875" style="24" bestFit="1" customWidth="1"/>
    <col min="18" max="18" width="17.44140625" customWidth="1"/>
  </cols>
  <sheetData>
    <row r="5" spans="1:18" s="31" customFormat="1" ht="18" customHeight="1" x14ac:dyDescent="0.3">
      <c r="A5" s="28" t="s">
        <v>0</v>
      </c>
      <c r="B5" s="28" t="s">
        <v>589</v>
      </c>
      <c r="C5" s="28" t="s">
        <v>17</v>
      </c>
      <c r="D5" s="28" t="s">
        <v>18</v>
      </c>
      <c r="E5" s="28" t="s">
        <v>19</v>
      </c>
      <c r="F5" s="28" t="s">
        <v>20</v>
      </c>
      <c r="G5" s="28" t="s">
        <v>21</v>
      </c>
      <c r="H5" s="28" t="s">
        <v>22</v>
      </c>
      <c r="I5" s="28" t="s">
        <v>23</v>
      </c>
      <c r="J5" s="28" t="s">
        <v>24</v>
      </c>
      <c r="K5" s="28" t="s">
        <v>25</v>
      </c>
      <c r="L5" s="28" t="s">
        <v>26</v>
      </c>
      <c r="M5" s="29" t="s">
        <v>559</v>
      </c>
      <c r="N5" s="30" t="s">
        <v>560</v>
      </c>
      <c r="O5" s="30" t="s">
        <v>561</v>
      </c>
      <c r="P5" s="29" t="s">
        <v>567</v>
      </c>
      <c r="Q5" s="29" t="s">
        <v>568</v>
      </c>
      <c r="R5" s="29" t="s">
        <v>730</v>
      </c>
    </row>
    <row r="6" spans="1:18" x14ac:dyDescent="0.3">
      <c r="A6" s="19" t="str">
        <f>'Raw Data'!B41</f>
        <v>Adani Power Limited</v>
      </c>
      <c r="B6" s="20">
        <f t="shared" ref="B6:B37" si="0">COUNTIF($C$69:$L$98,A6)</f>
        <v>6</v>
      </c>
      <c r="C6" s="5">
        <f>('Raw Data'!D41+'Raw Data'!E41-'Raw Data'!F41)/'Raw Data'!H41</f>
        <v>14.747370749859437</v>
      </c>
      <c r="D6" s="5">
        <f>'Raw Data'!C41/'Raw Data'!L41</f>
        <v>22.265672879449479</v>
      </c>
      <c r="E6" s="5">
        <f>'Raw Data'!C41/'Raw Data'!N41</f>
        <v>4.5832996984771137</v>
      </c>
      <c r="F6" s="12">
        <f>'Raw Data'!J41/'Raw Data'!M41</f>
        <v>0.36392916597790098</v>
      </c>
      <c r="G6" s="11">
        <f>'Raw Data'!I41/('Raw Data'!M41+'Raw Data'!E41)</f>
        <v>0.19976001313830352</v>
      </c>
      <c r="H6" s="5">
        <f>'Raw Data'!E41/'Raw Data'!M41</f>
        <v>1.4658921333970303</v>
      </c>
      <c r="I6" s="5">
        <f>'Raw Data'!I41/'Raw Data'!Q41</f>
        <v>-5.1653445726602651</v>
      </c>
      <c r="J6" s="11">
        <f>'Raw Data'!I41/'Raw Data'!O41</f>
        <v>0.29356424040298196</v>
      </c>
      <c r="K6" s="11">
        <f>IFERROR('Raw Data'!J41/'Raw Data'!O41, "")</f>
        <v>0.21688892758831868</v>
      </c>
      <c r="L6" s="11">
        <f>'Raw Data'!R41/'Raw Data'!C41</f>
        <v>4.491218412370411E-2</v>
      </c>
      <c r="M6" s="23">
        <f t="shared" ref="M6:M37" si="1">AVERAGE(_xlfn.RANK.EQ(C6,$C$6:$C$64,1),
_xlfn.RANK.EQ(D6,$D$6:$D$64,1),
_xlfn.RANK.EQ(E6,$E$6:$E$64,1)
)</f>
        <v>42</v>
      </c>
      <c r="N6" s="23">
        <f t="shared" ref="N6:N37" si="2">AVERAGE(
_xlfn.RANK.EQ(F6,$F$6:$F$64,0),
_xlfn.RANK.EQ(G6,$G$6:$G$64,0),
_xlfn.RANK.EQ(J6,$J$6:$J$64,0),
_xlfn.RANK.EQ(K6,$K$6:$K$64,0)
)</f>
        <v>12.75</v>
      </c>
      <c r="O6" s="23">
        <f t="shared" ref="O6:O37" si="3">AVERAGE(
_xlfn.RANK.EQ(H6,$H$6:$H$64,1),
_xlfn.RANK.EQ(I6,$I$6:$I$64,0)
)</f>
        <v>41.5</v>
      </c>
      <c r="P6" s="23">
        <f t="shared" ref="P6:P37" si="4">_xlfn.RANK.EQ(L6,$L$6:$L$64,0)</f>
        <v>26</v>
      </c>
      <c r="Q6" s="23">
        <f t="shared" ref="Q6:Q37" si="5">AVERAGE(M6,N6,O6,P6)</f>
        <v>30.5625</v>
      </c>
      <c r="R6" s="27" t="str">
        <f t="shared" ref="R6:R37" si="6">IF(Q6&lt;=20,"Excellent",IF(Q6&lt;=25,"Very Good",IF(Q6&lt;=30,"Decent",IF(Q6&lt;=35,"Average","Weak/Avoid"))))</f>
        <v>Average</v>
      </c>
    </row>
    <row r="7" spans="1:18" x14ac:dyDescent="0.3">
      <c r="A7" s="19" t="str">
        <f>'Raw Data'!B47</f>
        <v>K.P. Energy Limited</v>
      </c>
      <c r="B7" s="20">
        <f t="shared" si="0"/>
        <v>6</v>
      </c>
      <c r="C7" s="5">
        <f>('Raw Data'!D47+'Raw Data'!E47-'Raw Data'!F47)/'Raw Data'!H47</f>
        <v>11.766423454296142</v>
      </c>
      <c r="D7" s="5">
        <f>'Raw Data'!C47/'Raw Data'!L47</f>
        <v>16.995770066461333</v>
      </c>
      <c r="E7" s="5">
        <f>'Raw Data'!C47/'Raw Data'!N47</f>
        <v>6.0149247614563297</v>
      </c>
      <c r="F7" s="12">
        <f>'Raw Data'!J47/'Raw Data'!M47</f>
        <v>0.39651643036007533</v>
      </c>
      <c r="G7" s="11">
        <f>'Raw Data'!I47/('Raw Data'!M47+'Raw Data'!E47)</f>
        <v>0.26428625149098395</v>
      </c>
      <c r="H7" s="5">
        <f>'Raw Data'!E47/'Raw Data'!M47</f>
        <v>1.3621101305250551</v>
      </c>
      <c r="I7" s="5">
        <f>'Raw Data'!I47/'Raw Data'!Q47</f>
        <v>-581.32448163147546</v>
      </c>
      <c r="J7" s="11">
        <f>'Raw Data'!I47/'Raw Data'!O47</f>
        <v>0.18554534863872507</v>
      </c>
      <c r="K7" s="11">
        <f>IFERROR('Raw Data'!J47/'Raw Data'!O47, "")</f>
        <v>0.11785188846846624</v>
      </c>
      <c r="L7" s="11">
        <f>'Raw Data'!R47/'Raw Data'!C47</f>
        <v>5.8838169502737264E-2</v>
      </c>
      <c r="M7" s="23">
        <f t="shared" si="1"/>
        <v>38.666666666666664</v>
      </c>
      <c r="N7" s="23">
        <f t="shared" si="2"/>
        <v>17</v>
      </c>
      <c r="O7" s="23">
        <f t="shared" si="3"/>
        <v>50</v>
      </c>
      <c r="P7" s="23">
        <f t="shared" si="4"/>
        <v>20</v>
      </c>
      <c r="Q7" s="23">
        <f t="shared" si="5"/>
        <v>31.416666666666664</v>
      </c>
      <c r="R7" s="27" t="str">
        <f t="shared" si="6"/>
        <v>Average</v>
      </c>
    </row>
    <row r="8" spans="1:18" x14ac:dyDescent="0.3">
      <c r="A8" s="19" t="str">
        <f>'Raw Data'!B34</f>
        <v>Torrent Power Limited</v>
      </c>
      <c r="B8" s="20">
        <f t="shared" si="0"/>
        <v>6</v>
      </c>
      <c r="C8" s="5">
        <f>('Raw Data'!D34+'Raw Data'!E34-'Raw Data'!F34)/'Raw Data'!H34</f>
        <v>13.996731155236727</v>
      </c>
      <c r="D8" s="5">
        <f>'Raw Data'!C34/'Raw Data'!L34</f>
        <v>22.41616737288868</v>
      </c>
      <c r="E8" s="5">
        <f>'Raw Data'!C34/'Raw Data'!N34</f>
        <v>3.4976448265545468</v>
      </c>
      <c r="F8" s="12">
        <f>'Raw Data'!J34/'Raw Data'!M34</f>
        <v>0.20058305722778241</v>
      </c>
      <c r="G8" s="11">
        <f>'Raw Data'!I34/('Raw Data'!M34+'Raw Data'!E34)</f>
        <v>0.15575350661194476</v>
      </c>
      <c r="H8" s="5">
        <f>'Raw Data'!E34/'Raw Data'!M34</f>
        <v>0.64530409890241558</v>
      </c>
      <c r="I8" s="5">
        <f>'Raw Data'!I34/'Raw Data'!Q34</f>
        <v>-3.6408347022155216</v>
      </c>
      <c r="J8" s="11">
        <f>'Raw Data'!I34/'Raw Data'!O34</f>
        <v>0.12520267210880373</v>
      </c>
      <c r="K8" s="11">
        <f>IFERROR('Raw Data'!J34/'Raw Data'!O34, "")</f>
        <v>9.7999493587034053E-2</v>
      </c>
      <c r="L8" s="11">
        <f>'Raw Data'!R34/'Raw Data'!C34</f>
        <v>4.461065905536795E-2</v>
      </c>
      <c r="M8" s="23">
        <f t="shared" si="1"/>
        <v>39.666666666666664</v>
      </c>
      <c r="N8" s="23">
        <f t="shared" si="2"/>
        <v>25.75</v>
      </c>
      <c r="O8" s="23">
        <f t="shared" si="3"/>
        <v>35</v>
      </c>
      <c r="P8" s="23">
        <f t="shared" si="4"/>
        <v>27</v>
      </c>
      <c r="Q8" s="23">
        <f t="shared" si="5"/>
        <v>31.854166666666664</v>
      </c>
      <c r="R8" s="27" t="str">
        <f t="shared" si="6"/>
        <v>Average</v>
      </c>
    </row>
    <row r="9" spans="1:18" x14ac:dyDescent="0.3">
      <c r="A9" s="19" t="str">
        <f>'Raw Data'!B51</f>
        <v>Waaree Renewable Technologies Limited</v>
      </c>
      <c r="B9" s="20">
        <f t="shared" si="0"/>
        <v>5</v>
      </c>
      <c r="C9" s="5">
        <f>('Raw Data'!D51+'Raw Data'!E51-'Raw Data'!F51)/'Raw Data'!H51</f>
        <v>29.577114217111504</v>
      </c>
      <c r="D9" s="5">
        <f>'Raw Data'!C51/'Raw Data'!L51</f>
        <v>40.848805918107701</v>
      </c>
      <c r="E9" s="5">
        <f>'Raw Data'!C51/'Raw Data'!N51</f>
        <v>20.554740429385919</v>
      </c>
      <c r="F9" s="12">
        <f>'Raw Data'!J51/'Raw Data'!M51</f>
        <v>1.1167918676933886</v>
      </c>
      <c r="G9" s="11">
        <f>'Raw Data'!I51/('Raw Data'!M51+'Raw Data'!E51)</f>
        <v>1.3094244670940252</v>
      </c>
      <c r="H9" s="5">
        <f>'Raw Data'!E51/'Raw Data'!M51</f>
        <v>0.13339701738317258</v>
      </c>
      <c r="I9" s="5">
        <f>'Raw Data'!I51/'Raw Data'!Q51</f>
        <v>-19.692367001605113</v>
      </c>
      <c r="J9" s="11">
        <f>'Raw Data'!I51/'Raw Data'!O51</f>
        <v>0.19059984620544171</v>
      </c>
      <c r="K9" s="11">
        <f>IFERROR('Raw Data'!J51/'Raw Data'!O51, "")</f>
        <v>0.14342744818202791</v>
      </c>
      <c r="L9" s="11">
        <f>'Raw Data'!R51/'Raw Data'!C51</f>
        <v>2.4480519748968085E-2</v>
      </c>
      <c r="M9" s="23">
        <f t="shared" si="1"/>
        <v>51.333333333333336</v>
      </c>
      <c r="N9" s="23">
        <f t="shared" si="2"/>
        <v>9.75</v>
      </c>
      <c r="O9" s="23">
        <f t="shared" si="3"/>
        <v>36.5</v>
      </c>
      <c r="P9" s="23">
        <f t="shared" si="4"/>
        <v>37</v>
      </c>
      <c r="Q9" s="23">
        <f t="shared" si="5"/>
        <v>33.645833333333336</v>
      </c>
      <c r="R9" s="27" t="str">
        <f t="shared" si="6"/>
        <v>Average</v>
      </c>
    </row>
    <row r="10" spans="1:18" x14ac:dyDescent="0.3">
      <c r="A10" s="19" t="str">
        <f>'Raw Data'!B55</f>
        <v>Apex Ecotech Limited</v>
      </c>
      <c r="B10" s="20">
        <f t="shared" si="0"/>
        <v>6</v>
      </c>
      <c r="C10" s="5">
        <f>('Raw Data'!D55+'Raw Data'!E55-'Raw Data'!F55)/'Raw Data'!H55</f>
        <v>12.887643865081124</v>
      </c>
      <c r="D10" s="5">
        <f>'Raw Data'!C55/'Raw Data'!L55</f>
        <v>18.667193298607533</v>
      </c>
      <c r="E10" s="5">
        <f>'Raw Data'!C55/'Raw Data'!N55</f>
        <v>3.6659146572431434</v>
      </c>
      <c r="F10" s="12">
        <f>'Raw Data'!J55/'Raw Data'!M55</f>
        <v>0.72101430149336099</v>
      </c>
      <c r="G10" s="11">
        <f>'Raw Data'!I55/('Raw Data'!M55+'Raw Data'!E55)</f>
        <v>0.91387202918245813</v>
      </c>
      <c r="H10" s="5">
        <f>'Raw Data'!E55/'Raw Data'!M55</f>
        <v>6.0171446861028337E-3</v>
      </c>
      <c r="I10" s="5">
        <f>'Raw Data'!I55/'Raw Data'!Q55</f>
        <v>-174.21338054535212</v>
      </c>
      <c r="J10" s="11">
        <f>'Raw Data'!I55/'Raw Data'!O55</f>
        <v>0.14937874256779168</v>
      </c>
      <c r="K10" s="11">
        <f>IFERROR('Raw Data'!J55/'Raw Data'!O55, "")</f>
        <v>0.11714989704969897</v>
      </c>
      <c r="L10" s="11">
        <f>'Raw Data'!R55/'Raw Data'!C55</f>
        <v>5.3569917234134734E-2</v>
      </c>
      <c r="M10" s="23">
        <f t="shared" si="1"/>
        <v>38.333333333333336</v>
      </c>
      <c r="N10" s="23">
        <f t="shared" si="2"/>
        <v>15.25</v>
      </c>
      <c r="O10" s="23">
        <f t="shared" si="3"/>
        <v>35</v>
      </c>
      <c r="P10" s="23">
        <f t="shared" si="4"/>
        <v>23</v>
      </c>
      <c r="Q10" s="23">
        <f t="shared" si="5"/>
        <v>27.895833333333336</v>
      </c>
      <c r="R10" s="15" t="str">
        <f t="shared" si="6"/>
        <v>Decent</v>
      </c>
    </row>
    <row r="11" spans="1:18" x14ac:dyDescent="0.3">
      <c r="A11" s="19" t="str">
        <f>'Raw Data'!B61</f>
        <v>Indraprastha Gas Limited</v>
      </c>
      <c r="B11" s="20">
        <f t="shared" si="0"/>
        <v>7</v>
      </c>
      <c r="C11" s="5">
        <f>('Raw Data'!D61+'Raw Data'!E61-'Raw Data'!F61)/'Raw Data'!H61</f>
        <v>12.748115593898858</v>
      </c>
      <c r="D11" s="5">
        <f>'Raw Data'!C61/'Raw Data'!L61</f>
        <v>14.756107635916536</v>
      </c>
      <c r="E11" s="5">
        <f>'Raw Data'!C61/'Raw Data'!N61</f>
        <v>2.3152273132463193</v>
      </c>
      <c r="F11" s="12">
        <f>'Raw Data'!J61/'Raw Data'!M61</f>
        <v>0.16059533470246171</v>
      </c>
      <c r="G11" s="11">
        <f>'Raw Data'!I61/('Raw Data'!M61+'Raw Data'!E61)</f>
        <v>0.1358562044833603</v>
      </c>
      <c r="H11" s="5">
        <f>'Raw Data'!E61/'Raw Data'!M61</f>
        <v>9.0141500494090535E-3</v>
      </c>
      <c r="I11" s="5">
        <f>'Raw Data'!I61/'Raw Data'!Q61</f>
        <v>-181.31094666045965</v>
      </c>
      <c r="J11" s="11">
        <f>'Raw Data'!I61/'Raw Data'!O61</f>
        <v>9.2771033294790028E-2</v>
      </c>
      <c r="K11" s="11">
        <f>IFERROR('Raw Data'!J61/'Raw Data'!O61, "")</f>
        <v>0.1086847435172866</v>
      </c>
      <c r="L11" s="11">
        <f>'Raw Data'!R61/'Raw Data'!C61</f>
        <v>6.7768548771356782E-2</v>
      </c>
      <c r="M11" s="23">
        <f t="shared" si="1"/>
        <v>30.333333333333332</v>
      </c>
      <c r="N11" s="23">
        <f t="shared" si="2"/>
        <v>29.25</v>
      </c>
      <c r="O11" s="23">
        <f t="shared" si="3"/>
        <v>36</v>
      </c>
      <c r="P11" s="23">
        <f t="shared" si="4"/>
        <v>14</v>
      </c>
      <c r="Q11" s="23">
        <f t="shared" si="5"/>
        <v>27.395833333333332</v>
      </c>
      <c r="R11" s="15" t="str">
        <f t="shared" si="6"/>
        <v>Decent</v>
      </c>
    </row>
    <row r="12" spans="1:18" x14ac:dyDescent="0.3">
      <c r="A12" s="19" t="str">
        <f>'Raw Data'!B50</f>
        <v>KPI Green Energy Limited</v>
      </c>
      <c r="B12" s="20">
        <f t="shared" si="0"/>
        <v>6</v>
      </c>
      <c r="C12" s="5">
        <f>('Raw Data'!D50+'Raw Data'!E50-'Raw Data'!F50)/'Raw Data'!H50</f>
        <v>14.083948477925437</v>
      </c>
      <c r="D12" s="5">
        <f>'Raw Data'!C50/'Raw Data'!L50</f>
        <v>22.050734283964363</v>
      </c>
      <c r="E12" s="5">
        <f>'Raw Data'!C50/'Raw Data'!N50</f>
        <v>2.8761562785009072</v>
      </c>
      <c r="F12" s="12">
        <f>'Raw Data'!J50/'Raw Data'!M50</f>
        <v>0.55499476766121558</v>
      </c>
      <c r="G12" s="11">
        <f>'Raw Data'!I50/('Raw Data'!M50+'Raw Data'!E50)</f>
        <v>0.26357069552570889</v>
      </c>
      <c r="H12" s="5">
        <f>'Raw Data'!E50/'Raw Data'!M50</f>
        <v>2.2439262043871144</v>
      </c>
      <c r="I12" s="5">
        <f>'Raw Data'!I50/'Raw Data'!Q50</f>
        <v>-6.1756094675242856</v>
      </c>
      <c r="J12" s="11">
        <f>'Raw Data'!I50/'Raw Data'!O50</f>
        <v>0.28234295014795036</v>
      </c>
      <c r="K12" s="11">
        <f>IFERROR('Raw Data'!J50/'Raw Data'!O50, "")</f>
        <v>0.18327268752554199</v>
      </c>
      <c r="L12" s="11">
        <f>'Raw Data'!R50/'Raw Data'!C50</f>
        <v>4.534996373010651E-2</v>
      </c>
      <c r="M12" s="23">
        <f t="shared" si="1"/>
        <v>37.666666666666664</v>
      </c>
      <c r="N12" s="23">
        <f t="shared" si="2"/>
        <v>11.75</v>
      </c>
      <c r="O12" s="23">
        <f t="shared" si="3"/>
        <v>45.5</v>
      </c>
      <c r="P12" s="23">
        <f t="shared" si="4"/>
        <v>25</v>
      </c>
      <c r="Q12" s="23">
        <f t="shared" si="5"/>
        <v>29.979166666666664</v>
      </c>
      <c r="R12" s="15" t="str">
        <f t="shared" si="6"/>
        <v>Decent</v>
      </c>
    </row>
    <row r="13" spans="1:18" x14ac:dyDescent="0.3">
      <c r="A13" s="19" t="str">
        <f>'Raw Data'!B30</f>
        <v>Nava Limited</v>
      </c>
      <c r="B13" s="20">
        <f t="shared" si="0"/>
        <v>6</v>
      </c>
      <c r="C13" s="5">
        <f>('Raw Data'!D30+'Raw Data'!E30-'Raw Data'!F30)/'Raw Data'!H30</f>
        <v>9.0896362707565466</v>
      </c>
      <c r="D13" s="5">
        <f>'Raw Data'!C30/'Raw Data'!L30</f>
        <v>17.218832448638789</v>
      </c>
      <c r="E13" s="5">
        <f>'Raw Data'!C30/'Raw Data'!N30</f>
        <v>1.9600105290914194</v>
      </c>
      <c r="F13" s="12">
        <f>'Raw Data'!J30/'Raw Data'!M30</f>
        <v>0.13094143723226179</v>
      </c>
      <c r="G13" s="11">
        <f>'Raw Data'!I30/('Raw Data'!M30+'Raw Data'!E30)</f>
        <v>0.15830570979028832</v>
      </c>
      <c r="H13" s="5">
        <f>'Raw Data'!E30/'Raw Data'!M30</f>
        <v>0.22656686069113133</v>
      </c>
      <c r="I13" s="5">
        <f>'Raw Data'!I30/'Raw Data'!Q30</f>
        <v>-242.69038956289253</v>
      </c>
      <c r="J13" s="11">
        <f>'Raw Data'!I30/'Raw Data'!O30</f>
        <v>0.34040570900855971</v>
      </c>
      <c r="K13" s="11">
        <f>IFERROR('Raw Data'!J30/'Raw Data'!O30, "")</f>
        <v>0.22955467007090211</v>
      </c>
      <c r="L13" s="11">
        <f>'Raw Data'!R30/'Raw Data'!C30</f>
        <v>5.807594695998413E-2</v>
      </c>
      <c r="M13" s="23">
        <f t="shared" si="1"/>
        <v>28</v>
      </c>
      <c r="N13" s="23">
        <f t="shared" si="2"/>
        <v>18</v>
      </c>
      <c r="O13" s="23">
        <f t="shared" si="3"/>
        <v>43.5</v>
      </c>
      <c r="P13" s="23">
        <f t="shared" si="4"/>
        <v>21</v>
      </c>
      <c r="Q13" s="23">
        <f t="shared" si="5"/>
        <v>27.625</v>
      </c>
      <c r="R13" s="15" t="str">
        <f t="shared" si="6"/>
        <v>Decent</v>
      </c>
    </row>
    <row r="14" spans="1:18" x14ac:dyDescent="0.3">
      <c r="A14" s="19" t="str">
        <f>'Raw Data'!B42</f>
        <v>NTPC Limited</v>
      </c>
      <c r="B14" s="20">
        <f t="shared" si="0"/>
        <v>5</v>
      </c>
      <c r="C14" s="5">
        <f>('Raw Data'!D42+'Raw Data'!E42-'Raw Data'!F42)/'Raw Data'!H42</f>
        <v>10.228817870722995</v>
      </c>
      <c r="D14" s="5">
        <f>'Raw Data'!C42/'Raw Data'!L42</f>
        <v>13.002939288503596</v>
      </c>
      <c r="E14" s="5">
        <f>'Raw Data'!C42/'Raw Data'!N42</f>
        <v>1.6082200185546278</v>
      </c>
      <c r="F14" s="12">
        <f>'Raw Data'!J42/'Raw Data'!M42</f>
        <v>0.13762299138464607</v>
      </c>
      <c r="G14" s="11">
        <f>'Raw Data'!I42/('Raw Data'!M42+'Raw Data'!E42)</f>
        <v>8.5176051861304808E-2</v>
      </c>
      <c r="H14" s="5">
        <f>'Raw Data'!E42/'Raw Data'!M42</f>
        <v>1.4768489424797304</v>
      </c>
      <c r="I14" s="5">
        <f>'Raw Data'!I42/'Raw Data'!Q42</f>
        <v>-2.7176364852845079</v>
      </c>
      <c r="J14" s="11">
        <f>'Raw Data'!I42/'Raw Data'!O42</f>
        <v>0.19495721411595421</v>
      </c>
      <c r="K14" s="11">
        <f>IFERROR('Raw Data'!J42/'Raw Data'!O42, "")</f>
        <v>0.1271783767461061</v>
      </c>
      <c r="L14" s="11">
        <f>'Raw Data'!R42/'Raw Data'!C42</f>
        <v>7.6905688614891776E-2</v>
      </c>
      <c r="M14" s="23">
        <f t="shared" si="1"/>
        <v>23.666666666666668</v>
      </c>
      <c r="N14" s="23">
        <f t="shared" si="2"/>
        <v>25.75</v>
      </c>
      <c r="O14" s="23">
        <f t="shared" si="3"/>
        <v>39</v>
      </c>
      <c r="P14" s="23">
        <f t="shared" si="4"/>
        <v>12</v>
      </c>
      <c r="Q14" s="23">
        <f t="shared" si="5"/>
        <v>25.104166666666668</v>
      </c>
      <c r="R14" s="15" t="str">
        <f t="shared" si="6"/>
        <v>Decent</v>
      </c>
    </row>
    <row r="15" spans="1:18" x14ac:dyDescent="0.3">
      <c r="A15" s="19" t="str">
        <f>'Raw Data'!B54</f>
        <v>Power Grid Corporation of India Limited</v>
      </c>
      <c r="B15" s="20">
        <f t="shared" si="0"/>
        <v>5</v>
      </c>
      <c r="C15" s="5">
        <f>('Raw Data'!D54+'Raw Data'!E54-'Raw Data'!F54)/'Raw Data'!H54</f>
        <v>9.7057577106856865</v>
      </c>
      <c r="D15" s="5">
        <f>'Raw Data'!C54/'Raw Data'!L54</f>
        <v>15.985706391390083</v>
      </c>
      <c r="E15" s="5">
        <f>'Raw Data'!C54/'Raw Data'!N54</f>
        <v>2.4562542126830542</v>
      </c>
      <c r="F15" s="12">
        <f>'Raw Data'!J54/'Raw Data'!M54</f>
        <v>0.19570228279290952</v>
      </c>
      <c r="G15" s="11">
        <f>'Raw Data'!I54/('Raw Data'!M54+'Raw Data'!E54)</f>
        <v>0.11883260075278487</v>
      </c>
      <c r="H15" s="5">
        <f>'Raw Data'!E54/'Raw Data'!M54</f>
        <v>1.7982343890621233</v>
      </c>
      <c r="I15" s="5">
        <f>'Raw Data'!I54/'Raw Data'!Q54</f>
        <v>-3.2455376617235991</v>
      </c>
      <c r="J15" s="11">
        <f>'Raw Data'!I54/'Raw Data'!O54</f>
        <v>0.55929563413333849</v>
      </c>
      <c r="K15" s="11">
        <f>IFERROR('Raw Data'!J54/'Raw Data'!O54, "")</f>
        <v>0.32916801542616825</v>
      </c>
      <c r="L15" s="11">
        <f>'Raw Data'!R54/'Raw Data'!C54</f>
        <v>6.2555884332931383E-2</v>
      </c>
      <c r="M15" s="23">
        <f t="shared" si="1"/>
        <v>28.666666666666668</v>
      </c>
      <c r="N15" s="23">
        <f t="shared" si="2"/>
        <v>14.75</v>
      </c>
      <c r="O15" s="23">
        <f t="shared" si="3"/>
        <v>41.5</v>
      </c>
      <c r="P15" s="23">
        <f t="shared" si="4"/>
        <v>19</v>
      </c>
      <c r="Q15" s="23">
        <f t="shared" si="5"/>
        <v>25.979166666666668</v>
      </c>
      <c r="R15" s="15" t="str">
        <f t="shared" si="6"/>
        <v>Decent</v>
      </c>
    </row>
    <row r="16" spans="1:18" x14ac:dyDescent="0.3">
      <c r="A16" s="19" t="str">
        <f>'Raw Data'!B57</f>
        <v>Rudra Gas Enterprise Limited</v>
      </c>
      <c r="B16" s="20">
        <f t="shared" si="0"/>
        <v>5</v>
      </c>
      <c r="C16" s="5">
        <f>('Raw Data'!D57+'Raw Data'!E57-'Raw Data'!F57)/'Raw Data'!H57</f>
        <v>10.471657416979584</v>
      </c>
      <c r="D16" s="5">
        <f>'Raw Data'!C57/'Raw Data'!L57</f>
        <v>18.287455554239202</v>
      </c>
      <c r="E16" s="5">
        <f>'Raw Data'!C57/'Raw Data'!N57</f>
        <v>2.9830930415432251</v>
      </c>
      <c r="F16" s="12">
        <f>'Raw Data'!J57/'Raw Data'!M57</f>
        <v>0.611610862334659</v>
      </c>
      <c r="G16" s="11">
        <f>'Raw Data'!I57/('Raw Data'!M57+'Raw Data'!E57)</f>
        <v>0.31482469946715164</v>
      </c>
      <c r="H16" s="5">
        <f>'Raw Data'!E57/'Raw Data'!M57</f>
        <v>2.6922056395679861</v>
      </c>
      <c r="I16" s="5">
        <f>'Raw Data'!I57/'Raw Data'!Q57</f>
        <v>-2.6497037534448156</v>
      </c>
      <c r="J16" s="11">
        <f>'Raw Data'!I57/'Raw Data'!O57</f>
        <v>0.12351956348672408</v>
      </c>
      <c r="K16" s="11">
        <f>IFERROR('Raw Data'!J57/'Raw Data'!O57, "")</f>
        <v>6.4991454932125353E-2</v>
      </c>
      <c r="L16" s="11">
        <f>'Raw Data'!R57/'Raw Data'!C57</f>
        <v>5.4682292844626529E-2</v>
      </c>
      <c r="M16" s="23">
        <f t="shared" si="1"/>
        <v>33.333333333333336</v>
      </c>
      <c r="N16" s="23">
        <f t="shared" si="2"/>
        <v>22</v>
      </c>
      <c r="O16" s="23">
        <f t="shared" si="3"/>
        <v>42.5</v>
      </c>
      <c r="P16" s="23">
        <f t="shared" si="4"/>
        <v>22</v>
      </c>
      <c r="Q16" s="23">
        <f t="shared" si="5"/>
        <v>29.958333333333336</v>
      </c>
      <c r="R16" s="15" t="str">
        <f t="shared" si="6"/>
        <v>Decent</v>
      </c>
    </row>
    <row r="17" spans="1:18" x14ac:dyDescent="0.3">
      <c r="A17" s="19" t="str">
        <f>'Raw Data'!B45</f>
        <v>Sugs Lloyd Limited</v>
      </c>
      <c r="B17" s="20">
        <f t="shared" si="0"/>
        <v>7</v>
      </c>
      <c r="C17" s="5">
        <f>('Raw Data'!D45+'Raw Data'!E45-'Raw Data'!F45)/'Raw Data'!H45</f>
        <v>8.5746238774933996</v>
      </c>
      <c r="D17" s="5">
        <f>'Raw Data'!C45/'Raw Data'!L45</f>
        <v>15.441733562669622</v>
      </c>
      <c r="E17" s="5">
        <f>'Raw Data'!C45/'Raw Data'!N45</f>
        <v>2.7615934894847745</v>
      </c>
      <c r="F17" s="12">
        <f>'Raw Data'!J45/'Raw Data'!M45</f>
        <v>0.22074518595753861</v>
      </c>
      <c r="G17" s="11">
        <f>'Raw Data'!I45/('Raw Data'!M45+'Raw Data'!E45)</f>
        <v>0.18877279542776434</v>
      </c>
      <c r="H17" s="5">
        <f>'Raw Data'!E45/'Raw Data'!M45</f>
        <v>0.84008365448470435</v>
      </c>
      <c r="I17" s="5">
        <f>'Raw Data'!I45/'Raw Data'!Q45</f>
        <v>-590.24995846779666</v>
      </c>
      <c r="J17" s="11">
        <f>'Raw Data'!I45/'Raw Data'!O45</f>
        <v>0.14589780165487345</v>
      </c>
      <c r="K17" s="11">
        <f>IFERROR('Raw Data'!J45/'Raw Data'!O45, "")</f>
        <v>9.2717777916545535E-2</v>
      </c>
      <c r="L17" s="11">
        <f>'Raw Data'!R45/'Raw Data'!C45</f>
        <v>6.4759568343900134E-2</v>
      </c>
      <c r="M17" s="23">
        <f t="shared" si="1"/>
        <v>27.333333333333332</v>
      </c>
      <c r="N17" s="23">
        <f t="shared" si="2"/>
        <v>23.75</v>
      </c>
      <c r="O17" s="23">
        <f t="shared" si="3"/>
        <v>48.5</v>
      </c>
      <c r="P17" s="23">
        <f t="shared" si="4"/>
        <v>17</v>
      </c>
      <c r="Q17" s="23">
        <f t="shared" si="5"/>
        <v>29.145833333333332</v>
      </c>
      <c r="R17" s="15" t="str">
        <f t="shared" si="6"/>
        <v>Decent</v>
      </c>
    </row>
    <row r="18" spans="1:18" x14ac:dyDescent="0.3">
      <c r="A18" s="19" t="str">
        <f>'Raw Data'!B65</f>
        <v>GAIL (India) Limited</v>
      </c>
      <c r="B18" s="20">
        <f t="shared" si="0"/>
        <v>6</v>
      </c>
      <c r="C18" s="5">
        <f>('Raw Data'!D65+'Raw Data'!E65-'Raw Data'!F65)/'Raw Data'!H65</f>
        <v>8.5797063510103619</v>
      </c>
      <c r="D18" s="5">
        <f>'Raw Data'!C65/'Raw Data'!L65</f>
        <v>9.1066107774333798</v>
      </c>
      <c r="E18" s="5">
        <f>'Raw Data'!C65/'Raw Data'!N65</f>
        <v>1.245444764509744</v>
      </c>
      <c r="F18" s="12">
        <f>'Raw Data'!J65/'Raw Data'!M65</f>
        <v>0.1736061371926983</v>
      </c>
      <c r="G18" s="11">
        <f>'Raw Data'!I65/('Raw Data'!M65+'Raw Data'!E65)</f>
        <v>0.12040907183917737</v>
      </c>
      <c r="H18" s="5">
        <f>'Raw Data'!E65/'Raw Data'!M65</f>
        <v>0.3221955953518606</v>
      </c>
      <c r="I18" s="5">
        <f>'Raw Data'!I65/'Raw Data'!Q65</f>
        <v>-14.054769467249818</v>
      </c>
      <c r="J18" s="11">
        <f>'Raw Data'!I65/'Raw Data'!O65</f>
        <v>7.4895070344087225E-2</v>
      </c>
      <c r="K18" s="11">
        <f>IFERROR('Raw Data'!J65/'Raw Data'!O65, "")</f>
        <v>8.1670157331934015E-2</v>
      </c>
      <c r="L18" s="11">
        <f>'Raw Data'!R65/'Raw Data'!C65</f>
        <v>0.10981033717593906</v>
      </c>
      <c r="M18" s="23">
        <f t="shared" si="1"/>
        <v>17.333333333333332</v>
      </c>
      <c r="N18" s="23">
        <f t="shared" si="2"/>
        <v>31.75</v>
      </c>
      <c r="O18" s="23">
        <f t="shared" si="3"/>
        <v>38.5</v>
      </c>
      <c r="P18" s="23">
        <f t="shared" si="4"/>
        <v>7</v>
      </c>
      <c r="Q18" s="23">
        <f t="shared" si="5"/>
        <v>23.645833333333332</v>
      </c>
      <c r="R18" s="26" t="str">
        <f t="shared" si="6"/>
        <v>Very Good</v>
      </c>
    </row>
    <row r="19" spans="1:18" x14ac:dyDescent="0.3">
      <c r="A19" s="19" t="str">
        <f>'Raw Data'!B28</f>
        <v>Jaiprakash Power Ventures Limited</v>
      </c>
      <c r="B19" s="20">
        <f t="shared" si="0"/>
        <v>5</v>
      </c>
      <c r="C19" s="5">
        <f>('Raw Data'!D28+'Raw Data'!E28-'Raw Data'!F28)/'Raw Data'!H28</f>
        <v>8.7317299284180461</v>
      </c>
      <c r="D19" s="5">
        <f>'Raw Data'!C28/'Raw Data'!L28</f>
        <v>21.056782964417206</v>
      </c>
      <c r="E19" s="5">
        <f>'Raw Data'!C28/'Raw Data'!N28</f>
        <v>1.4103025698300182</v>
      </c>
      <c r="F19" s="12">
        <f>'Raw Data'!J28/'Raw Data'!M28</f>
        <v>-0.50892102627810842</v>
      </c>
      <c r="G19" s="11">
        <f>'Raw Data'!I28/('Raw Data'!M28+'Raw Data'!E28)</f>
        <v>0.53086176104344529</v>
      </c>
      <c r="H19" s="5">
        <f>'Raw Data'!E28/'Raw Data'!M28</f>
        <v>-2.5874409459122867</v>
      </c>
      <c r="I19" s="5">
        <f>'Raw Data'!I28/'Raw Data'!Q28</f>
        <v>-3.1933307774977697</v>
      </c>
      <c r="J19" s="11">
        <f>'Raw Data'!I28/'Raw Data'!O28</f>
        <v>0.23258956910532519</v>
      </c>
      <c r="K19" s="11">
        <f>IFERROR('Raw Data'!J28/'Raw Data'!O28, "")</f>
        <v>0.14046289230177408</v>
      </c>
      <c r="L19" s="11">
        <f>'Raw Data'!R28/'Raw Data'!C28</f>
        <v>4.7490635283169776E-2</v>
      </c>
      <c r="M19" s="23">
        <f t="shared" si="1"/>
        <v>24.333333333333332</v>
      </c>
      <c r="N19" s="23">
        <f t="shared" si="2"/>
        <v>23.5</v>
      </c>
      <c r="O19" s="23">
        <f t="shared" si="3"/>
        <v>18</v>
      </c>
      <c r="P19" s="23">
        <f t="shared" si="4"/>
        <v>24</v>
      </c>
      <c r="Q19" s="23">
        <f t="shared" si="5"/>
        <v>22.458333333333332</v>
      </c>
      <c r="R19" s="26" t="str">
        <f t="shared" si="6"/>
        <v>Very Good</v>
      </c>
    </row>
    <row r="20" spans="1:18" x14ac:dyDescent="0.3">
      <c r="A20" s="19" t="str">
        <f>'Raw Data'!B59</f>
        <v>Mahanagar Gas Limited</v>
      </c>
      <c r="B20" s="20">
        <f t="shared" si="0"/>
        <v>6</v>
      </c>
      <c r="C20" s="5">
        <f>('Raw Data'!D59+'Raw Data'!E59-'Raw Data'!F59)/'Raw Data'!H59</f>
        <v>7.2078981381422045</v>
      </c>
      <c r="D20" s="5">
        <f>'Raw Data'!C59/'Raw Data'!L59</f>
        <v>11.250369816125291</v>
      </c>
      <c r="E20" s="5">
        <f>'Raw Data'!C59/'Raw Data'!N59</f>
        <v>1.7660404169796047</v>
      </c>
      <c r="F20" s="12">
        <f>'Raw Data'!J59/'Raw Data'!M59</f>
        <v>0.15951393093368998</v>
      </c>
      <c r="G20" s="11">
        <f>'Raw Data'!I59/('Raw Data'!M59+'Raw Data'!E59)</f>
        <v>0.18592330586484748</v>
      </c>
      <c r="H20" s="5">
        <f>'Raw Data'!E59/'Raw Data'!M59</f>
        <v>3.6109815929107635E-2</v>
      </c>
      <c r="I20" s="5">
        <f>'Raw Data'!I59/'Raw Data'!Q59</f>
        <v>-67.209496122182486</v>
      </c>
      <c r="J20" s="11">
        <f>'Raw Data'!I59/'Raw Data'!O59</f>
        <v>0.1481473089913255</v>
      </c>
      <c r="K20" s="11">
        <f>IFERROR('Raw Data'!J59/'Raw Data'!O59, "")</f>
        <v>0.1226740670250408</v>
      </c>
      <c r="L20" s="11">
        <f>'Raw Data'!R59/'Raw Data'!C59</f>
        <v>8.8885966980986525E-2</v>
      </c>
      <c r="M20" s="23">
        <f t="shared" si="1"/>
        <v>20.666666666666668</v>
      </c>
      <c r="N20" s="23">
        <f t="shared" si="2"/>
        <v>24.25</v>
      </c>
      <c r="O20" s="23">
        <f t="shared" si="3"/>
        <v>36.5</v>
      </c>
      <c r="P20" s="23">
        <f t="shared" si="4"/>
        <v>10</v>
      </c>
      <c r="Q20" s="23">
        <f t="shared" si="5"/>
        <v>22.854166666666668</v>
      </c>
      <c r="R20" s="26" t="str">
        <f t="shared" si="6"/>
        <v>Very Good</v>
      </c>
    </row>
    <row r="21" spans="1:18" x14ac:dyDescent="0.3">
      <c r="A21" s="19" t="str">
        <f>'Raw Data'!B33</f>
        <v>NLC India Limited</v>
      </c>
      <c r="B21" s="20">
        <f t="shared" si="0"/>
        <v>6</v>
      </c>
      <c r="C21" s="5">
        <f>('Raw Data'!D33+'Raw Data'!E33-'Raw Data'!F33)/'Raw Data'!H33</f>
        <v>11.608896359068105</v>
      </c>
      <c r="D21" s="5">
        <f>'Raw Data'!C33/'Raw Data'!L33</f>
        <v>10.915305198245255</v>
      </c>
      <c r="E21" s="5">
        <f>'Raw Data'!C33/'Raw Data'!N33</f>
        <v>1.714298215752567</v>
      </c>
      <c r="F21" s="12">
        <f>'Raw Data'!J33/'Raw Data'!M33</f>
        <v>0.17009693012591431</v>
      </c>
      <c r="G21" s="11">
        <f>'Raw Data'!I33/('Raw Data'!M33+'Raw Data'!E33)</f>
        <v>6.8871727059458654E-2</v>
      </c>
      <c r="H21" s="5">
        <f>'Raw Data'!E33/'Raw Data'!M33</f>
        <v>1.334146730838665</v>
      </c>
      <c r="I21" s="5">
        <f>'Raw Data'!I33/'Raw Data'!Q33</f>
        <v>-2.5959214666513692</v>
      </c>
      <c r="J21" s="11">
        <f>'Raw Data'!I33/'Raw Data'!O33</f>
        <v>0.17180173397464077</v>
      </c>
      <c r="K21" s="11">
        <f>IFERROR('Raw Data'!J33/'Raw Data'!O33, "")</f>
        <v>0.18178368011102203</v>
      </c>
      <c r="L21" s="11">
        <f>'Raw Data'!R33/'Raw Data'!C33</f>
        <v>9.1614479104144525E-2</v>
      </c>
      <c r="M21" s="23">
        <f t="shared" si="1"/>
        <v>24.666666666666668</v>
      </c>
      <c r="N21" s="23">
        <f t="shared" si="2"/>
        <v>25.25</v>
      </c>
      <c r="O21" s="23">
        <f t="shared" si="3"/>
        <v>36</v>
      </c>
      <c r="P21" s="23">
        <f t="shared" si="4"/>
        <v>9</v>
      </c>
      <c r="Q21" s="23">
        <f t="shared" si="5"/>
        <v>23.729166666666668</v>
      </c>
      <c r="R21" s="26" t="str">
        <f t="shared" si="6"/>
        <v>Very Good</v>
      </c>
    </row>
    <row r="22" spans="1:18" x14ac:dyDescent="0.3">
      <c r="A22" s="19" t="str">
        <f>'Raw Data'!B24</f>
        <v>Pace Digitek Limited</v>
      </c>
      <c r="B22" s="20">
        <f t="shared" si="0"/>
        <v>7</v>
      </c>
      <c r="C22" s="5">
        <f>('Raw Data'!D24+'Raw Data'!E24-'Raw Data'!F24)/'Raw Data'!H24</f>
        <v>11.405447881693645</v>
      </c>
      <c r="D22" s="5">
        <f>'Raw Data'!C24/'Raw Data'!L24</f>
        <v>14.341664524863013</v>
      </c>
      <c r="E22" s="5">
        <f>'Raw Data'!C24/'Raw Data'!N24</f>
        <v>2.7339329257547078</v>
      </c>
      <c r="F22" s="12">
        <f>'Raw Data'!J24/'Raw Data'!M24</f>
        <v>0.30279490818676286</v>
      </c>
      <c r="G22" s="11">
        <f>'Raw Data'!I24/('Raw Data'!M24+'Raw Data'!E24)</f>
        <v>0.38550874763665144</v>
      </c>
      <c r="H22" s="5">
        <f>'Raw Data'!E24/'Raw Data'!M24</f>
        <v>0.18594466687786371</v>
      </c>
      <c r="I22" s="5">
        <f>'Raw Data'!I24/'Raw Data'!Q24</f>
        <v>-11.412596714078948</v>
      </c>
      <c r="J22" s="11">
        <f>'Raw Data'!I24/'Raw Data'!O24</f>
        <v>0.17243434625079065</v>
      </c>
      <c r="K22" s="11">
        <f>IFERROR('Raw Data'!J24/'Raw Data'!O24, "")</f>
        <v>0.11420199193542339</v>
      </c>
      <c r="L22" s="11">
        <f>'Raw Data'!R24/'Raw Data'!C24</f>
        <v>6.9726913376503746E-2</v>
      </c>
      <c r="M22" s="23">
        <f t="shared" si="1"/>
        <v>29.333333333333332</v>
      </c>
      <c r="N22" s="23">
        <f t="shared" si="2"/>
        <v>19</v>
      </c>
      <c r="O22" s="23">
        <f t="shared" si="3"/>
        <v>35.5</v>
      </c>
      <c r="P22" s="23">
        <f t="shared" si="4"/>
        <v>13</v>
      </c>
      <c r="Q22" s="23">
        <f t="shared" si="5"/>
        <v>24.208333333333332</v>
      </c>
      <c r="R22" s="26" t="str">
        <f t="shared" si="6"/>
        <v>Very Good</v>
      </c>
    </row>
    <row r="23" spans="1:18" x14ac:dyDescent="0.3">
      <c r="A23" s="19" t="str">
        <f>'Raw Data'!B63</f>
        <v>Petronet LNG Limited</v>
      </c>
      <c r="B23" s="20">
        <f t="shared" si="0"/>
        <v>5</v>
      </c>
      <c r="C23" s="5">
        <f>('Raw Data'!D63+'Raw Data'!E63-'Raw Data'!F63)/'Raw Data'!H63</f>
        <v>7.8157435842280583</v>
      </c>
      <c r="D23" s="5">
        <f>'Raw Data'!C63/'Raw Data'!L63</f>
        <v>10.455674686288381</v>
      </c>
      <c r="E23" s="5">
        <f>'Raw Data'!C63/'Raw Data'!N63</f>
        <v>1.9499401585953218</v>
      </c>
      <c r="F23" s="12">
        <f>'Raw Data'!J63/'Raw Data'!M63</f>
        <v>0.20113269554068902</v>
      </c>
      <c r="G23" s="11">
        <f>'Raw Data'!I63/('Raw Data'!M63+'Raw Data'!E63)</f>
        <v>0.20392187225958436</v>
      </c>
      <c r="H23" s="5">
        <f>'Raw Data'!E63/'Raw Data'!M63</f>
        <v>0.14405827222565681</v>
      </c>
      <c r="I23" s="5">
        <f>'Raw Data'!I63/'Raw Data'!Q63</f>
        <v>-17.025418663865295</v>
      </c>
      <c r="J23" s="11">
        <f>'Raw Data'!I63/'Raw Data'!O63</f>
        <v>8.7007925375509484E-2</v>
      </c>
      <c r="K23" s="11">
        <f>IFERROR('Raw Data'!J63/'Raw Data'!O63, "")</f>
        <v>7.5011790477213125E-2</v>
      </c>
      <c r="L23" s="11">
        <f>'Raw Data'!R63/'Raw Data'!C63</f>
        <v>9.5641843305569213E-2</v>
      </c>
      <c r="M23" s="23">
        <f t="shared" si="1"/>
        <v>22</v>
      </c>
      <c r="N23" s="23">
        <f t="shared" si="2"/>
        <v>26.5</v>
      </c>
      <c r="O23" s="23">
        <f t="shared" si="3"/>
        <v>36.5</v>
      </c>
      <c r="P23" s="23">
        <f t="shared" si="4"/>
        <v>8</v>
      </c>
      <c r="Q23" s="23">
        <f t="shared" si="5"/>
        <v>23.25</v>
      </c>
      <c r="R23" s="26" t="str">
        <f t="shared" si="6"/>
        <v>Very Good</v>
      </c>
    </row>
    <row r="24" spans="1:18" x14ac:dyDescent="0.3">
      <c r="A24" s="19" t="str">
        <f>'Raw Data'!B64</f>
        <v>Adani Total Gas Limited</v>
      </c>
      <c r="B24" s="20">
        <f t="shared" si="0"/>
        <v>5</v>
      </c>
      <c r="C24" s="5">
        <f>('Raw Data'!D64+'Raw Data'!E64-'Raw Data'!F64)/'Raw Data'!H64</f>
        <v>56.46302169983533</v>
      </c>
      <c r="D24" s="5">
        <f>'Raw Data'!C64/'Raw Data'!L64</f>
        <v>95.170686281323185</v>
      </c>
      <c r="E24" s="5">
        <f>'Raw Data'!C64/'Raw Data'!N64</f>
        <v>14.630762153436965</v>
      </c>
      <c r="F24" s="12">
        <f>'Raw Data'!J64/'Raw Data'!M64</f>
        <v>0.16366047883520066</v>
      </c>
      <c r="G24" s="11">
        <f>'Raw Data'!I64/('Raw Data'!M64+'Raw Data'!E64)</f>
        <v>0.15903374527845207</v>
      </c>
      <c r="H24" s="5">
        <f>'Raw Data'!E64/'Raw Data'!M64</f>
        <v>0.46336068366298294</v>
      </c>
      <c r="I24" s="5">
        <f>'Raw Data'!I64/'Raw Data'!Q64</f>
        <v>-10.369143486777869</v>
      </c>
      <c r="J24" s="11">
        <f>'Raw Data'!I64/'Raw Data'!O64</f>
        <v>0.17603454994143167</v>
      </c>
      <c r="K24" s="11">
        <f>IFERROR('Raw Data'!J64/'Raw Data'!O64, "")</f>
        <v>0.12379441799164319</v>
      </c>
      <c r="L24" s="11">
        <f>'Raw Data'!R64/'Raw Data'!C64</f>
        <v>1.0507437101420224E-2</v>
      </c>
      <c r="M24" s="23">
        <f t="shared" si="1"/>
        <v>54</v>
      </c>
      <c r="N24" s="23">
        <f t="shared" si="2"/>
        <v>23</v>
      </c>
      <c r="O24" s="23">
        <f t="shared" si="3"/>
        <v>37</v>
      </c>
      <c r="P24" s="23">
        <f t="shared" si="4"/>
        <v>43</v>
      </c>
      <c r="Q24" s="23">
        <f t="shared" si="5"/>
        <v>39.25</v>
      </c>
      <c r="R24" s="16" t="str">
        <f t="shared" si="6"/>
        <v>Weak/Avoid</v>
      </c>
    </row>
    <row r="25" spans="1:18" x14ac:dyDescent="0.3">
      <c r="A25" s="19" t="str">
        <f>'Raw Data'!B37</f>
        <v>Siemens Energy India Limited</v>
      </c>
      <c r="B25" s="20">
        <f t="shared" si="0"/>
        <v>5</v>
      </c>
      <c r="C25" s="5">
        <f>('Raw Data'!D37+'Raw Data'!E37-'Raw Data'!F37)/'Raw Data'!H37</f>
        <v>56.25421554037225</v>
      </c>
      <c r="D25" s="5">
        <f>'Raw Data'!C37/'Raw Data'!L37</f>
        <v>77.451448117254188</v>
      </c>
      <c r="E25" s="5">
        <f>'Raw Data'!C37/'Raw Data'!N37</f>
        <v>26.386015550181224</v>
      </c>
      <c r="F25" s="12">
        <f>'Raw Data'!J37/'Raw Data'!M37</f>
        <v>0.39635843187494196</v>
      </c>
      <c r="G25" s="11">
        <f>'Raw Data'!I37/('Raw Data'!M37+'Raw Data'!E37)</f>
        <v>0.50598916243247216</v>
      </c>
      <c r="H25" s="5">
        <f>'Raw Data'!E37/'Raw Data'!M37</f>
        <v>4.0233005241187114E-2</v>
      </c>
      <c r="I25" s="5">
        <f>'Raw Data'!I37/'Raw Data'!Q37</f>
        <v>-52.566262991414376</v>
      </c>
      <c r="J25" s="11">
        <f>'Raw Data'!I37/'Raw Data'!O37</f>
        <v>0.18104485699750844</v>
      </c>
      <c r="K25" s="11">
        <f>IFERROR('Raw Data'!J37/'Raw Data'!O37, "")</f>
        <v>0.13633345770607333</v>
      </c>
      <c r="L25" s="11">
        <f>'Raw Data'!R37/'Raw Data'!C37</f>
        <v>1.2911314433864353E-2</v>
      </c>
      <c r="M25" s="23">
        <f t="shared" si="1"/>
        <v>53.666666666666664</v>
      </c>
      <c r="N25" s="23">
        <f t="shared" si="2"/>
        <v>15.25</v>
      </c>
      <c r="O25" s="23">
        <f t="shared" si="3"/>
        <v>36.5</v>
      </c>
      <c r="P25" s="23">
        <f t="shared" si="4"/>
        <v>40</v>
      </c>
      <c r="Q25" s="23">
        <f t="shared" si="5"/>
        <v>36.354166666666664</v>
      </c>
      <c r="R25" s="16" t="str">
        <f t="shared" si="6"/>
        <v>Weak/Avoid</v>
      </c>
    </row>
    <row r="26" spans="1:18" x14ac:dyDescent="0.3">
      <c r="A26" s="21" t="str">
        <f>'Raw Data'!B62</f>
        <v>Gujarat Gas Limited</v>
      </c>
      <c r="B26" s="22">
        <f t="shared" si="0"/>
        <v>4</v>
      </c>
      <c r="C26" s="5">
        <f>('Raw Data'!D62+'Raw Data'!E62-'Raw Data'!F62)/'Raw Data'!H62</f>
        <v>14.050528825964991</v>
      </c>
      <c r="D26" s="5">
        <f>'Raw Data'!C62/'Raw Data'!L62</f>
        <v>23.893366708513526</v>
      </c>
      <c r="E26" s="5">
        <f>'Raw Data'!C62/'Raw Data'!N62</f>
        <v>3.0663779299934282</v>
      </c>
      <c r="F26" s="12">
        <f>'Raw Data'!J62/'Raw Data'!M62</f>
        <v>0.14141877809780382</v>
      </c>
      <c r="G26" s="11">
        <f>'Raw Data'!I62/('Raw Data'!M62+'Raw Data'!E62)</f>
        <v>0.17148234141897217</v>
      </c>
      <c r="H26" s="5">
        <f>'Raw Data'!E62/'Raw Data'!M62</f>
        <v>1.9160805206967935E-2</v>
      </c>
      <c r="I26" s="5">
        <f>'Raw Data'!I62/'Raw Data'!Q62</f>
        <v>-41.655638323678353</v>
      </c>
      <c r="J26" s="11">
        <f>'Raw Data'!I62/'Raw Data'!O62</f>
        <v>8.6396998945228801E-2</v>
      </c>
      <c r="K26" s="11">
        <f>IFERROR('Raw Data'!J62/'Raw Data'!O62, "")</f>
        <v>6.9910695025667879E-2</v>
      </c>
      <c r="L26" s="11">
        <f>'Raw Data'!R62/'Raw Data'!C62</f>
        <v>4.1852620109985868E-2</v>
      </c>
      <c r="M26" s="23">
        <f t="shared" si="1"/>
        <v>40</v>
      </c>
      <c r="N26" s="23">
        <f t="shared" si="2"/>
        <v>31.5</v>
      </c>
      <c r="O26" s="23">
        <f t="shared" si="3"/>
        <v>34</v>
      </c>
      <c r="P26" s="23">
        <f t="shared" si="4"/>
        <v>29</v>
      </c>
      <c r="Q26" s="23">
        <f t="shared" si="5"/>
        <v>33.625</v>
      </c>
      <c r="R26" s="27" t="str">
        <f t="shared" si="6"/>
        <v>Average</v>
      </c>
    </row>
    <row r="27" spans="1:18" x14ac:dyDescent="0.3">
      <c r="A27" s="21" t="str">
        <f>'Raw Data'!B36</f>
        <v>JSW Energy Limited</v>
      </c>
      <c r="B27" s="22">
        <f t="shared" si="0"/>
        <v>4</v>
      </c>
      <c r="C27" s="5">
        <f>('Raw Data'!D36+'Raw Data'!E36-'Raw Data'!F36)/'Raw Data'!H36</f>
        <v>19.747703365228965</v>
      </c>
      <c r="D27" s="5">
        <f>'Raw Data'!C36/'Raw Data'!L36</f>
        <v>35.057274189930773</v>
      </c>
      <c r="E27" s="5">
        <f>'Raw Data'!C36/'Raw Data'!N36</f>
        <v>2.7845639969150997</v>
      </c>
      <c r="F27" s="12">
        <f>'Raw Data'!J36/'Raw Data'!M36</f>
        <v>0.18899739931523765</v>
      </c>
      <c r="G27" s="11">
        <f>'Raw Data'!I36/('Raw Data'!M36+'Raw Data'!E36)</f>
        <v>7.4786079720988691E-2</v>
      </c>
      <c r="H27" s="5">
        <f>'Raw Data'!E36/'Raw Data'!M36</f>
        <v>4.3663797943132749</v>
      </c>
      <c r="I27" s="5">
        <f>'Raw Data'!I36/'Raw Data'!Q36</f>
        <v>-1.5398284132146849</v>
      </c>
      <c r="J27" s="11">
        <f>'Raw Data'!I36/'Raw Data'!O36</f>
        <v>0.32926056262575398</v>
      </c>
      <c r="K27" s="11">
        <f>IFERROR('Raw Data'!J36/'Raw Data'!O36, "")</f>
        <v>0.15505771161370413</v>
      </c>
      <c r="L27" s="11">
        <f>'Raw Data'!R36/'Raw Data'!C36</f>
        <v>2.8524750514893771E-2</v>
      </c>
      <c r="M27" s="23">
        <f t="shared" si="1"/>
        <v>42.666666666666664</v>
      </c>
      <c r="N27" s="23">
        <f t="shared" si="2"/>
        <v>21</v>
      </c>
      <c r="O27" s="23">
        <f t="shared" si="3"/>
        <v>38.5</v>
      </c>
      <c r="P27" s="23">
        <f t="shared" si="4"/>
        <v>36</v>
      </c>
      <c r="Q27" s="23">
        <f t="shared" si="5"/>
        <v>34.541666666666664</v>
      </c>
      <c r="R27" s="27" t="str">
        <f t="shared" si="6"/>
        <v>Average</v>
      </c>
    </row>
    <row r="28" spans="1:18" x14ac:dyDescent="0.3">
      <c r="A28" s="21" t="str">
        <f>'Raw Data'!B35</f>
        <v>NHPC Limited</v>
      </c>
      <c r="B28" s="22">
        <f t="shared" si="0"/>
        <v>3</v>
      </c>
      <c r="C28" s="5">
        <f>('Raw Data'!D35+'Raw Data'!E35-'Raw Data'!F35)/'Raw Data'!H35</f>
        <v>20.186681634298019</v>
      </c>
      <c r="D28" s="5">
        <f>'Raw Data'!C35/'Raw Data'!L35</f>
        <v>24.091564312736896</v>
      </c>
      <c r="E28" s="5">
        <f>'Raw Data'!C35/'Raw Data'!N35</f>
        <v>1.8518718961778027</v>
      </c>
      <c r="F28" s="12">
        <f>'Raw Data'!J35/'Raw Data'!M35</f>
        <v>0.11540998522347373</v>
      </c>
      <c r="G28" s="11">
        <f>'Raw Data'!I35/('Raw Data'!M35+'Raw Data'!E35)</f>
        <v>6.6596118954376893E-2</v>
      </c>
      <c r="H28" s="5">
        <f>'Raw Data'!E35/'Raw Data'!M35</f>
        <v>1.5731732050062497</v>
      </c>
      <c r="I28" s="5">
        <f>'Raw Data'!I35/'Raw Data'!Q35</f>
        <v>-12.171992863017707</v>
      </c>
      <c r="J28" s="11">
        <f>'Raw Data'!I35/'Raw Data'!O35</f>
        <v>0.41548869944413652</v>
      </c>
      <c r="K28" s="11">
        <f>IFERROR('Raw Data'!J35/'Raw Data'!O35, "")</f>
        <v>0.27982380704472937</v>
      </c>
      <c r="L28" s="11">
        <f>'Raw Data'!R35/'Raw Data'!C35</f>
        <v>4.1508305024066584E-2</v>
      </c>
      <c r="M28" s="23">
        <f t="shared" si="1"/>
        <v>37.666666666666664</v>
      </c>
      <c r="N28" s="23">
        <f t="shared" si="2"/>
        <v>20.75</v>
      </c>
      <c r="O28" s="23">
        <f t="shared" si="3"/>
        <v>45.5</v>
      </c>
      <c r="P28" s="23">
        <f t="shared" si="4"/>
        <v>30</v>
      </c>
      <c r="Q28" s="23">
        <f t="shared" si="5"/>
        <v>33.479166666666664</v>
      </c>
      <c r="R28" s="27" t="str">
        <f t="shared" si="6"/>
        <v>Average</v>
      </c>
    </row>
    <row r="29" spans="1:18" x14ac:dyDescent="0.3">
      <c r="A29" s="21" t="str">
        <f>'Raw Data'!B12</f>
        <v>Waa Solar Limited</v>
      </c>
      <c r="B29" s="22">
        <f t="shared" si="0"/>
        <v>3</v>
      </c>
      <c r="C29" s="5">
        <f>('Raw Data'!D12+'Raw Data'!E12-'Raw Data'!F12)/'Raw Data'!H12</f>
        <v>16.115716596763512</v>
      </c>
      <c r="D29" s="5">
        <f>'Raw Data'!C12/'Raw Data'!L12</f>
        <v>33.850152210771185</v>
      </c>
      <c r="E29" s="5">
        <f>'Raw Data'!C12/'Raw Data'!N12</f>
        <v>0.31066989153323904</v>
      </c>
      <c r="F29" s="12">
        <f>'Raw Data'!J12/'Raw Data'!M12</f>
        <v>2.0817615931677906E-2</v>
      </c>
      <c r="G29" s="11">
        <f>'Raw Data'!I12/('Raw Data'!M12+'Raw Data'!E12)</f>
        <v>3.3715969416387333E-3</v>
      </c>
      <c r="H29" s="5">
        <f>'Raw Data'!E12/'Raw Data'!M12</f>
        <v>0.78235414031101247</v>
      </c>
      <c r="I29" s="5">
        <f>'Raw Data'!I12/'Raw Data'!Q12</f>
        <v>-0.25079054259668437</v>
      </c>
      <c r="J29" s="11">
        <f>'Raw Data'!I12/'Raw Data'!O12</f>
        <v>2.7328877922841881E-2</v>
      </c>
      <c r="K29" s="11">
        <f>IFERROR('Raw Data'!J12/'Raw Data'!O12, "")</f>
        <v>9.467234662619442E-2</v>
      </c>
      <c r="L29" s="11">
        <f>'Raw Data'!R12/'Raw Data'!C12</f>
        <v>2.9541964649771883E-2</v>
      </c>
      <c r="M29" s="23">
        <f t="shared" si="1"/>
        <v>29.333333333333332</v>
      </c>
      <c r="N29" s="23">
        <f t="shared" si="2"/>
        <v>41</v>
      </c>
      <c r="O29" s="23">
        <f t="shared" si="3"/>
        <v>25.5</v>
      </c>
      <c r="P29" s="23">
        <f t="shared" si="4"/>
        <v>34</v>
      </c>
      <c r="Q29" s="23">
        <f t="shared" si="5"/>
        <v>32.458333333333329</v>
      </c>
      <c r="R29" s="27" t="str">
        <f t="shared" si="6"/>
        <v>Average</v>
      </c>
    </row>
    <row r="30" spans="1:18" x14ac:dyDescent="0.3">
      <c r="A30" s="21" t="str">
        <f>'Raw Data'!B31</f>
        <v>CESC Limited</v>
      </c>
      <c r="B30" s="22">
        <f t="shared" si="0"/>
        <v>4</v>
      </c>
      <c r="C30" s="5">
        <f>('Raw Data'!D31+'Raw Data'!E31-'Raw Data'!F31)/'Raw Data'!H31</f>
        <v>11.094945727591734</v>
      </c>
      <c r="D30" s="5">
        <f>'Raw Data'!C31/'Raw Data'!L31</f>
        <v>15.531983096162167</v>
      </c>
      <c r="E30" s="5">
        <f>'Raw Data'!C31/'Raw Data'!N31</f>
        <v>1.7850224477558412</v>
      </c>
      <c r="F30" s="12">
        <f>'Raw Data'!J31/'Raw Data'!M31</f>
        <v>0.10828868715592922</v>
      </c>
      <c r="G30" s="11">
        <f>'Raw Data'!I31/('Raw Data'!M31+'Raw Data'!E31)</f>
        <v>6.9504055536778298E-2</v>
      </c>
      <c r="H30" s="5">
        <f>'Raw Data'!E31/'Raw Data'!M31</f>
        <v>1.4127823074625423</v>
      </c>
      <c r="I30" s="5">
        <f>'Raw Data'!I31/'Raw Data'!Q31</f>
        <v>-1.3993442571896944</v>
      </c>
      <c r="J30" s="11">
        <f>'Raw Data'!I31/'Raw Data'!O31</f>
        <v>0.12306805059694689</v>
      </c>
      <c r="K30" s="11">
        <f>IFERROR('Raw Data'!J31/'Raw Data'!O31, "")</f>
        <v>7.9469434774422046E-2</v>
      </c>
      <c r="L30" s="11">
        <f>'Raw Data'!R31/'Raw Data'!C31</f>
        <v>6.4383278928953527E-2</v>
      </c>
      <c r="M30" s="23">
        <f t="shared" si="1"/>
        <v>27.333333333333332</v>
      </c>
      <c r="N30" s="23">
        <f t="shared" si="2"/>
        <v>34.5</v>
      </c>
      <c r="O30" s="23">
        <f t="shared" si="3"/>
        <v>32</v>
      </c>
      <c r="P30" s="23">
        <f t="shared" si="4"/>
        <v>18</v>
      </c>
      <c r="Q30" s="23">
        <f t="shared" si="5"/>
        <v>27.958333333333332</v>
      </c>
      <c r="R30" s="15" t="str">
        <f t="shared" si="6"/>
        <v>Decent</v>
      </c>
    </row>
    <row r="31" spans="1:18" x14ac:dyDescent="0.3">
      <c r="A31" s="21" t="str">
        <f>'Raw Data'!B14</f>
        <v>Energy Development Company Limited</v>
      </c>
      <c r="B31" s="22">
        <f t="shared" si="0"/>
        <v>3</v>
      </c>
      <c r="C31" s="5">
        <f>('Raw Data'!D14+'Raw Data'!E14-'Raw Data'!F14)/'Raw Data'!H14</f>
        <v>9.5626730394999697</v>
      </c>
      <c r="D31" s="5">
        <f>'Raw Data'!C14/'Raw Data'!L14</f>
        <v>-1.0383326627963736</v>
      </c>
      <c r="E31" s="5">
        <f>'Raw Data'!C14/'Raw Data'!N14</f>
        <v>5.8571447626555502</v>
      </c>
      <c r="F31" s="12">
        <f>'Raw Data'!J14/'Raw Data'!M14</f>
        <v>0.73194078264931672</v>
      </c>
      <c r="G31" s="11">
        <f>'Raw Data'!I14/('Raw Data'!M14+'Raw Data'!E14)</f>
        <v>0.68159652548362615</v>
      </c>
      <c r="H31" s="5">
        <f>'Raw Data'!E14/'Raw Data'!M14</f>
        <v>-1.1504968785287237</v>
      </c>
      <c r="I31" s="5">
        <f>'Raw Data'!I14/'Raw Data'!Q14</f>
        <v>-1.3605596859218383</v>
      </c>
      <c r="J31" s="11">
        <f>'Raw Data'!I14/'Raw Data'!O14</f>
        <v>0.30526866676149816</v>
      </c>
      <c r="K31" s="11">
        <f>IFERROR('Raw Data'!J14/'Raw Data'!O14, "")</f>
        <v>-2.1782278970130209</v>
      </c>
      <c r="L31" s="11">
        <f>'Raw Data'!R14/'Raw Data'!C14</f>
        <v>-0.9630824838995834</v>
      </c>
      <c r="M31" s="23">
        <f t="shared" si="1"/>
        <v>28.333333333333332</v>
      </c>
      <c r="N31" s="23">
        <f t="shared" si="2"/>
        <v>18.5</v>
      </c>
      <c r="O31" s="23">
        <f t="shared" si="3"/>
        <v>12.5</v>
      </c>
      <c r="P31" s="23">
        <f t="shared" si="4"/>
        <v>59</v>
      </c>
      <c r="Q31" s="23">
        <f t="shared" si="5"/>
        <v>29.583333333333332</v>
      </c>
      <c r="R31" s="15" t="str">
        <f t="shared" si="6"/>
        <v>Decent</v>
      </c>
    </row>
    <row r="32" spans="1:18" x14ac:dyDescent="0.3">
      <c r="A32" s="21" t="str">
        <f>'Raw Data'!B60</f>
        <v>Gujarat State Petronet Limited</v>
      </c>
      <c r="B32" s="22">
        <f t="shared" si="0"/>
        <v>4</v>
      </c>
      <c r="C32" s="5">
        <f>('Raw Data'!D60+'Raw Data'!E60-'Raw Data'!F60)/'Raw Data'!H60</f>
        <v>5.4409234579720236</v>
      </c>
      <c r="D32" s="5">
        <f>'Raw Data'!C60/'Raw Data'!L60</f>
        <v>15.288421075866887</v>
      </c>
      <c r="E32" s="5">
        <f>'Raw Data'!C60/'Raw Data'!N60</f>
        <v>1.3186267574649675</v>
      </c>
      <c r="F32" s="12">
        <f>'Raw Data'!J60/'Raw Data'!M60</f>
        <v>7.1624321761293241E-2</v>
      </c>
      <c r="G32" s="11">
        <f>'Raw Data'!I60/('Raw Data'!M60+'Raw Data'!E60)</f>
        <v>0.12185189527204741</v>
      </c>
      <c r="H32" s="5">
        <f>'Raw Data'!E60/'Raw Data'!M60</f>
        <v>9.7162639854006076E-3</v>
      </c>
      <c r="I32" s="5">
        <f>'Raw Data'!I60/'Raw Data'!Q60</f>
        <v>-47.429430147095132</v>
      </c>
      <c r="J32" s="11">
        <f>'Raw Data'!I60/'Raw Data'!O60</f>
        <v>0.10552066037906442</v>
      </c>
      <c r="K32" s="11">
        <f>IFERROR('Raw Data'!J60/'Raw Data'!O60, "")</f>
        <v>6.1428001008393567E-2</v>
      </c>
      <c r="L32" s="11">
        <f>'Raw Data'!R60/'Raw Data'!C60</f>
        <v>6.5408978143499871E-2</v>
      </c>
      <c r="M32" s="23">
        <f t="shared" si="1"/>
        <v>18.333333333333332</v>
      </c>
      <c r="N32" s="23">
        <f t="shared" si="2"/>
        <v>34.75</v>
      </c>
      <c r="O32" s="23">
        <f t="shared" si="3"/>
        <v>34</v>
      </c>
      <c r="P32" s="23">
        <f t="shared" si="4"/>
        <v>15</v>
      </c>
      <c r="Q32" s="23">
        <f t="shared" si="5"/>
        <v>25.520833333333332</v>
      </c>
      <c r="R32" s="15" t="str">
        <f t="shared" si="6"/>
        <v>Decent</v>
      </c>
    </row>
    <row r="33" spans="1:18" x14ac:dyDescent="0.3">
      <c r="A33" s="21" t="str">
        <f>'Raw Data'!B15</f>
        <v>Indowind Energy Limited</v>
      </c>
      <c r="B33" s="22">
        <f t="shared" si="0"/>
        <v>3</v>
      </c>
      <c r="C33" s="5">
        <f>('Raw Data'!D15+'Raw Data'!E15-'Raw Data'!F15)/'Raw Data'!H15</f>
        <v>12.950761024243167</v>
      </c>
      <c r="D33" s="5">
        <f>'Raw Data'!C15/'Raw Data'!L15</f>
        <v>93.191705635173392</v>
      </c>
      <c r="E33" s="5">
        <f>'Raw Data'!C15/'Raw Data'!N15</f>
        <v>0.64552902670320866</v>
      </c>
      <c r="F33" s="12">
        <f>'Raw Data'!J15/'Raw Data'!M15</f>
        <v>-0.19500818645526485</v>
      </c>
      <c r="G33" s="11">
        <f>'Raw Data'!I15/('Raw Data'!M15+'Raw Data'!E15)</f>
        <v>1.0068013081088527</v>
      </c>
      <c r="H33" s="5">
        <f>'Raw Data'!E15/'Raw Data'!M15</f>
        <v>-1.7747911404361911</v>
      </c>
      <c r="I33" s="5">
        <f>'Raw Data'!I15/'Raw Data'!Q15</f>
        <v>-2.2453940776322616</v>
      </c>
      <c r="J33" s="11">
        <f>'Raw Data'!I15/'Raw Data'!O15</f>
        <v>0.20083741177879971</v>
      </c>
      <c r="K33" s="11">
        <f>IFERROR('Raw Data'!J15/'Raw Data'!O15, "")</f>
        <v>5.0207551478035836E-2</v>
      </c>
      <c r="L33" s="11">
        <f>'Raw Data'!R15/'Raw Data'!C15</f>
        <v>1.0730568704416646E-2</v>
      </c>
      <c r="M33" s="23">
        <f t="shared" si="1"/>
        <v>31.666666666666668</v>
      </c>
      <c r="N33" s="23">
        <f t="shared" si="2"/>
        <v>29</v>
      </c>
      <c r="O33" s="23">
        <f t="shared" si="3"/>
        <v>16</v>
      </c>
      <c r="P33" s="23">
        <f t="shared" si="4"/>
        <v>42</v>
      </c>
      <c r="Q33" s="23">
        <f t="shared" si="5"/>
        <v>29.666666666666668</v>
      </c>
      <c r="R33" s="15" t="str">
        <f t="shared" si="6"/>
        <v>Decent</v>
      </c>
    </row>
    <row r="34" spans="1:18" x14ac:dyDescent="0.3">
      <c r="A34" s="21" t="str">
        <f>'Raw Data'!B21</f>
        <v>Orient Green Power Company Limited</v>
      </c>
      <c r="B34" s="22">
        <f t="shared" si="0"/>
        <v>4</v>
      </c>
      <c r="C34" s="5">
        <f>('Raw Data'!D21+'Raw Data'!E21-'Raw Data'!F21)/'Raw Data'!H21</f>
        <v>9.9137991730736488</v>
      </c>
      <c r="D34" s="5">
        <f>'Raw Data'!C21/'Raw Data'!L21</f>
        <v>23.219943939838192</v>
      </c>
      <c r="E34" s="5">
        <f>'Raw Data'!C21/'Raw Data'!N21</f>
        <v>1.2189949106192446</v>
      </c>
      <c r="F34" s="12">
        <f>'Raw Data'!J21/'Raw Data'!M21</f>
        <v>-5.101289443474654E-2</v>
      </c>
      <c r="G34" s="11">
        <f>'Raw Data'!I21/('Raw Data'!M21+'Raw Data'!E21)</f>
        <v>-0.19430763277218599</v>
      </c>
      <c r="H34" s="5">
        <f>'Raw Data'!E21/'Raw Data'!M21</f>
        <v>-0.50635160290213699</v>
      </c>
      <c r="I34" s="5">
        <f>'Raw Data'!I21/'Raw Data'!Q21</f>
        <v>-1.5353683835214054</v>
      </c>
      <c r="J34" s="11">
        <f>'Raw Data'!I21/'Raw Data'!O21</f>
        <v>0.36293624077393943</v>
      </c>
      <c r="K34" s="11">
        <f>IFERROR('Raw Data'!J21/'Raw Data'!O21, "")</f>
        <v>0.19302017735650992</v>
      </c>
      <c r="L34" s="11">
        <f>'Raw Data'!R21/'Raw Data'!C21</f>
        <v>4.3066426111576933E-2</v>
      </c>
      <c r="M34" s="23">
        <f t="shared" si="1"/>
        <v>25.333333333333332</v>
      </c>
      <c r="N34" s="23">
        <f t="shared" si="2"/>
        <v>31.5</v>
      </c>
      <c r="O34" s="23">
        <f t="shared" si="3"/>
        <v>15.5</v>
      </c>
      <c r="P34" s="23">
        <f t="shared" si="4"/>
        <v>28</v>
      </c>
      <c r="Q34" s="23">
        <f t="shared" si="5"/>
        <v>25.083333333333332</v>
      </c>
      <c r="R34" s="15" t="str">
        <f t="shared" si="6"/>
        <v>Decent</v>
      </c>
    </row>
    <row r="35" spans="1:18" x14ac:dyDescent="0.3">
      <c r="A35" s="21" t="str">
        <f>'Raw Data'!B25</f>
        <v>PTC India Limited</v>
      </c>
      <c r="B35" s="22">
        <f t="shared" si="0"/>
        <v>3</v>
      </c>
      <c r="C35" s="5">
        <f>('Raw Data'!D25+'Raw Data'!E25-'Raw Data'!F25)/'Raw Data'!H25</f>
        <v>4.6146281429330109</v>
      </c>
      <c r="D35" s="5">
        <f>'Raw Data'!C25/'Raw Data'!L25</f>
        <v>4.7479577005102467</v>
      </c>
      <c r="E35" s="5">
        <f>'Raw Data'!C25/'Raw Data'!N25</f>
        <v>0.75368171049843125</v>
      </c>
      <c r="F35" s="12">
        <f>'Raw Data'!J25/'Raw Data'!M25</f>
        <v>0.22544771452640558</v>
      </c>
      <c r="G35" s="11">
        <f>'Raw Data'!I25/('Raw Data'!M25+'Raw Data'!E25)</f>
        <v>0.17233502187966593</v>
      </c>
      <c r="H35" s="5">
        <f>'Raw Data'!E25/'Raw Data'!M25</f>
        <v>0.72484596496377129</v>
      </c>
      <c r="I35" s="5">
        <f>'Raw Data'!I25/'Raw Data'!Q25</f>
        <v>-4.5391570451252612</v>
      </c>
      <c r="J35" s="11">
        <f>'Raw Data'!I25/'Raw Data'!O25</f>
        <v>7.7378434787474679E-2</v>
      </c>
      <c r="K35" s="11">
        <f>IFERROR('Raw Data'!J25/'Raw Data'!O25, "")</f>
        <v>5.8687000991815244E-2</v>
      </c>
      <c r="L35" s="11">
        <f>'Raw Data'!R25/'Raw Data'!C25</f>
        <v>0.21061687215379646</v>
      </c>
      <c r="M35" s="23">
        <f t="shared" si="1"/>
        <v>11</v>
      </c>
      <c r="N35" s="23">
        <f t="shared" si="2"/>
        <v>29.25</v>
      </c>
      <c r="O35" s="23">
        <f t="shared" si="3"/>
        <v>36.5</v>
      </c>
      <c r="P35" s="23">
        <f t="shared" si="4"/>
        <v>3</v>
      </c>
      <c r="Q35" s="23">
        <f t="shared" si="5"/>
        <v>19.9375</v>
      </c>
      <c r="R35" s="25" t="str">
        <f t="shared" si="6"/>
        <v>Excellent</v>
      </c>
    </row>
    <row r="36" spans="1:18" x14ac:dyDescent="0.3">
      <c r="A36" s="21" t="str">
        <f>'Raw Data'!B26</f>
        <v>RattanIndia Power Limited</v>
      </c>
      <c r="B36" s="22">
        <f t="shared" si="0"/>
        <v>4</v>
      </c>
      <c r="C36" s="5">
        <f>('Raw Data'!D26+'Raw Data'!E26-'Raw Data'!F26)/'Raw Data'!H26</f>
        <v>11.69333929947509</v>
      </c>
      <c r="D36" s="5">
        <f>'Raw Data'!C26/'Raw Data'!L26</f>
        <v>0.45132434330421223</v>
      </c>
      <c r="E36" s="5">
        <f>'Raw Data'!C26/'Raw Data'!N26</f>
        <v>1.1024099194699273</v>
      </c>
      <c r="F36" s="12">
        <f>'Raw Data'!J26/'Raw Data'!M26</f>
        <v>-3.359654770357003</v>
      </c>
      <c r="G36" s="11">
        <f>'Raw Data'!I26/('Raw Data'!M26+'Raw Data'!E26)</f>
        <v>1.3361083549904462</v>
      </c>
      <c r="H36" s="5">
        <f>'Raw Data'!E26/'Raw Data'!M26</f>
        <v>-1.0811234274768398</v>
      </c>
      <c r="I36" s="5">
        <f>'Raw Data'!I26/'Raw Data'!Q26</f>
        <v>-0.63777301494495531</v>
      </c>
      <c r="J36" s="11">
        <f>'Raw Data'!I26/'Raw Data'!O26</f>
        <v>0.10645182376644081</v>
      </c>
      <c r="K36" s="11">
        <f>IFERROR('Raw Data'!J26/'Raw Data'!O26, "")</f>
        <v>3.299588549859588</v>
      </c>
      <c r="L36" s="11">
        <f>'Raw Data'!R26/'Raw Data'!C26</f>
        <v>2.21570144583572</v>
      </c>
      <c r="M36" s="23">
        <f t="shared" si="1"/>
        <v>18.333333333333332</v>
      </c>
      <c r="N36" s="23">
        <f t="shared" si="2"/>
        <v>23</v>
      </c>
      <c r="O36" s="23">
        <f t="shared" si="3"/>
        <v>11.5</v>
      </c>
      <c r="P36" s="23">
        <f t="shared" si="4"/>
        <v>1</v>
      </c>
      <c r="Q36" s="23">
        <f t="shared" si="5"/>
        <v>13.458333333333332</v>
      </c>
      <c r="R36" s="25" t="str">
        <f t="shared" si="6"/>
        <v>Excellent</v>
      </c>
    </row>
    <row r="37" spans="1:18" x14ac:dyDescent="0.3">
      <c r="A37" s="21" t="str">
        <f>'Raw Data'!B22</f>
        <v>Gujarat Industries Power Company Limited</v>
      </c>
      <c r="B37" s="22">
        <f t="shared" si="0"/>
        <v>4</v>
      </c>
      <c r="C37" s="5">
        <f>('Raw Data'!D22+'Raw Data'!E22-'Raw Data'!F22)/'Raw Data'!H22</f>
        <v>11.30258521554604</v>
      </c>
      <c r="D37" s="5">
        <f>'Raw Data'!C22/'Raw Data'!L22</f>
        <v>11.935321453341306</v>
      </c>
      <c r="E37" s="5">
        <f>'Raw Data'!C22/'Raw Data'!N22</f>
        <v>0.63352477119011941</v>
      </c>
      <c r="F37" s="12">
        <f>'Raw Data'!J22/'Raw Data'!M22</f>
        <v>6.3547997405971668E-2</v>
      </c>
      <c r="G37" s="11">
        <f>'Raw Data'!I22/('Raw Data'!M22+'Raw Data'!E22)</f>
        <v>4.0667921373540743E-2</v>
      </c>
      <c r="H37" s="5">
        <f>'Raw Data'!E22/'Raw Data'!M22</f>
        <v>0.94897524460440674</v>
      </c>
      <c r="I37" s="5">
        <f>'Raw Data'!I22/'Raw Data'!Q22</f>
        <v>-5.8850240831691156</v>
      </c>
      <c r="J37" s="11">
        <f>'Raw Data'!I22/'Raw Data'!O22</f>
        <v>0.173003224804367</v>
      </c>
      <c r="K37" s="11">
        <f>IFERROR('Raw Data'!J22/'Raw Data'!O22, "")</f>
        <v>0.13870680543187502</v>
      </c>
      <c r="L37" s="11">
        <f>'Raw Data'!R22/'Raw Data'!C22</f>
        <v>8.3784923925953325E-2</v>
      </c>
      <c r="M37" s="23">
        <f t="shared" si="1"/>
        <v>18.333333333333332</v>
      </c>
      <c r="N37" s="23">
        <f t="shared" si="2"/>
        <v>30.5</v>
      </c>
      <c r="O37" s="23">
        <f t="shared" si="3"/>
        <v>39.5</v>
      </c>
      <c r="P37" s="23">
        <f t="shared" si="4"/>
        <v>11</v>
      </c>
      <c r="Q37" s="23">
        <f t="shared" si="5"/>
        <v>24.833333333333332</v>
      </c>
      <c r="R37" s="26" t="str">
        <f t="shared" si="6"/>
        <v>Very Good</v>
      </c>
    </row>
    <row r="38" spans="1:18" x14ac:dyDescent="0.3">
      <c r="A38" s="21" t="str">
        <f>'Raw Data'!B8</f>
        <v>KKV Agro Powers Limited</v>
      </c>
      <c r="B38" s="22">
        <f t="shared" ref="B38:B64" si="7">COUNTIF($C$69:$L$98,A38)</f>
        <v>4</v>
      </c>
      <c r="C38" s="5">
        <f>('Raw Data'!D8+'Raw Data'!E8-'Raw Data'!F8)/'Raw Data'!H8</f>
        <v>4.0767498756498703</v>
      </c>
      <c r="D38" s="5">
        <f>'Raw Data'!C8/'Raw Data'!L8</f>
        <v>7.1692772820076502</v>
      </c>
      <c r="E38" s="5">
        <f>'Raw Data'!C8/'Raw Data'!N8</f>
        <v>1.4530879599966349</v>
      </c>
      <c r="F38" s="12">
        <f>'Raw Data'!J8/'Raw Data'!M8</f>
        <v>0.42174547701021392</v>
      </c>
      <c r="G38" s="11">
        <f>'Raw Data'!I8/('Raw Data'!M8+'Raw Data'!E8)</f>
        <v>0.44295465717076898</v>
      </c>
      <c r="H38" s="5">
        <f>'Raw Data'!E8/'Raw Data'!M8</f>
        <v>0.65580379169850112</v>
      </c>
      <c r="I38" s="5">
        <f>'Raw Data'!I8/'Raw Data'!Q8</f>
        <v>-11.8438372490813</v>
      </c>
      <c r="J38" s="11">
        <f>'Raw Data'!I8/'Raw Data'!O8</f>
        <v>1.0947466871879715E-2</v>
      </c>
      <c r="K38" s="11">
        <f>IFERROR('Raw Data'!J8/'Raw Data'!O8, "")</f>
        <v>6.2950028118055282E-3</v>
      </c>
      <c r="L38" s="11">
        <f>'Raw Data'!R8/'Raw Data'!C8</f>
        <v>0.13948407359130136</v>
      </c>
      <c r="M38" s="23">
        <f t="shared" ref="M38:M64" si="8">AVERAGE(_xlfn.RANK.EQ(C38,$C$6:$C$64,1),
_xlfn.RANK.EQ(D38,$D$6:$D$64,1),
_xlfn.RANK.EQ(E38,$E$6:$E$64,1)
)</f>
        <v>15.333333333333334</v>
      </c>
      <c r="N38" s="23">
        <f t="shared" ref="N38:N64" si="9">AVERAGE(
_xlfn.RANK.EQ(F38,$F$6:$F$64,0),
_xlfn.RANK.EQ(G38,$G$6:$G$64,0),
_xlfn.RANK.EQ(J38,$J$6:$J$64,0),
_xlfn.RANK.EQ(K38,$K$6:$K$64,0)
)</f>
        <v>29</v>
      </c>
      <c r="O38" s="23">
        <f t="shared" ref="O38:O64" si="10">AVERAGE(
_xlfn.RANK.EQ(H38,$H$6:$H$64,1),
_xlfn.RANK.EQ(I38,$I$6:$I$64,0)
)</f>
        <v>39</v>
      </c>
      <c r="P38" s="23">
        <f t="shared" ref="P38:P64" si="11">_xlfn.RANK.EQ(L38,$L$6:$L$64,0)</f>
        <v>4</v>
      </c>
      <c r="Q38" s="23">
        <f t="shared" ref="Q38:Q64" si="12">AVERAGE(M38,N38,O38,P38)</f>
        <v>21.833333333333336</v>
      </c>
      <c r="R38" s="26" t="str">
        <f t="shared" ref="R38:R64" si="13">IF(Q38&lt;=20,"Excellent",IF(Q38&lt;=25,"Very Good",IF(Q38&lt;=30,"Decent",IF(Q38&lt;=35,"Average","Weak/Avoid"))))</f>
        <v>Very Good</v>
      </c>
    </row>
    <row r="39" spans="1:18" x14ac:dyDescent="0.3">
      <c r="A39" s="21" t="str">
        <f>'Raw Data'!B17</f>
        <v>Madhav Infra Projects Limited</v>
      </c>
      <c r="B39" s="22">
        <f t="shared" si="7"/>
        <v>4</v>
      </c>
      <c r="C39" s="5">
        <f>('Raw Data'!D17+'Raw Data'!E17-'Raw Data'!F17)/'Raw Data'!H17</f>
        <v>5.8003828701349818</v>
      </c>
      <c r="D39" s="5">
        <f>'Raw Data'!C17/'Raw Data'!L17</f>
        <v>8.3031507495372168</v>
      </c>
      <c r="E39" s="5">
        <f>'Raw Data'!C17/'Raw Data'!N17</f>
        <v>1.2452114783191326</v>
      </c>
      <c r="F39" s="12">
        <f>'Raw Data'!J17/'Raw Data'!M17</f>
        <v>0.24209029512441052</v>
      </c>
      <c r="G39" s="11">
        <f>'Raw Data'!I17/('Raw Data'!M17+'Raw Data'!E17)</f>
        <v>0.17257667518555467</v>
      </c>
      <c r="H39" s="5">
        <f>'Raw Data'!E17/'Raw Data'!M17</f>
        <v>1.3149924354740199</v>
      </c>
      <c r="I39" s="5">
        <f>'Raw Data'!I17/'Raw Data'!Q17</f>
        <v>-2.8690992027331825</v>
      </c>
      <c r="J39" s="11">
        <f>'Raw Data'!I17/'Raw Data'!O17</f>
        <v>8.8566796178930096E-2</v>
      </c>
      <c r="K39" s="11">
        <f>IFERROR('Raw Data'!J17/'Raw Data'!O17, "")</f>
        <v>5.3668151941513267E-2</v>
      </c>
      <c r="L39" s="11">
        <f>'Raw Data'!R17/'Raw Data'!C17</f>
        <v>0.12043620911685071</v>
      </c>
      <c r="M39" s="23">
        <f t="shared" si="8"/>
        <v>14.666666666666666</v>
      </c>
      <c r="N39" s="23">
        <f t="shared" si="9"/>
        <v>28.5</v>
      </c>
      <c r="O39" s="23">
        <f t="shared" si="10"/>
        <v>37</v>
      </c>
      <c r="P39" s="23">
        <f t="shared" si="11"/>
        <v>5</v>
      </c>
      <c r="Q39" s="23">
        <f t="shared" si="12"/>
        <v>21.291666666666664</v>
      </c>
      <c r="R39" s="26" t="str">
        <f t="shared" si="13"/>
        <v>Very Good</v>
      </c>
    </row>
    <row r="40" spans="1:18" x14ac:dyDescent="0.3">
      <c r="A40" s="21" t="str">
        <f>'Raw Data'!B58</f>
        <v>Positron Energy Limited</v>
      </c>
      <c r="B40" s="22">
        <f t="shared" si="7"/>
        <v>4</v>
      </c>
      <c r="C40" s="5">
        <f>('Raw Data'!D58+'Raw Data'!E58-'Raw Data'!F58)/'Raw Data'!H58</f>
        <v>6.2107860127530525</v>
      </c>
      <c r="D40" s="5">
        <f>'Raw Data'!C58/'Raw Data'!L58</f>
        <v>8.8038215161686058</v>
      </c>
      <c r="E40" s="5">
        <f>'Raw Data'!C58/'Raw Data'!N58</f>
        <v>1.89915225678572</v>
      </c>
      <c r="F40" s="12">
        <f>'Raw Data'!J58/'Raw Data'!M58</f>
        <v>0.63920052955568496</v>
      </c>
      <c r="G40" s="11">
        <f>'Raw Data'!I58/('Raw Data'!M58+'Raw Data'!E58)</f>
        <v>0.51347804909197325</v>
      </c>
      <c r="H40" s="5">
        <f>'Raw Data'!E58/'Raw Data'!M58</f>
        <v>0.19290601865972426</v>
      </c>
      <c r="I40" s="5">
        <f>'Raw Data'!I58/'Raw Data'!Q58</f>
        <v>-51.004376644198246</v>
      </c>
      <c r="J40" s="11">
        <f>'Raw Data'!I58/'Raw Data'!O58</f>
        <v>4.0780628216141916E-2</v>
      </c>
      <c r="K40" s="11">
        <f>IFERROR('Raw Data'!J58/'Raw Data'!O58, "")</f>
        <v>4.2556208260121832E-2</v>
      </c>
      <c r="L40" s="11">
        <f>'Raw Data'!R58/'Raw Data'!C58</f>
        <v>0.11358703696610115</v>
      </c>
      <c r="M40" s="23">
        <f t="shared" si="8"/>
        <v>20.333333333333332</v>
      </c>
      <c r="N40" s="23">
        <f t="shared" si="9"/>
        <v>25.25</v>
      </c>
      <c r="O40" s="23">
        <f t="shared" si="10"/>
        <v>40</v>
      </c>
      <c r="P40" s="23">
        <f t="shared" si="11"/>
        <v>6</v>
      </c>
      <c r="Q40" s="23">
        <f t="shared" si="12"/>
        <v>22.895833333333332</v>
      </c>
      <c r="R40" s="26" t="str">
        <f t="shared" si="13"/>
        <v>Very Good</v>
      </c>
    </row>
    <row r="41" spans="1:18" x14ac:dyDescent="0.3">
      <c r="A41" s="21" t="str">
        <f>'Raw Data'!B38</f>
        <v>Adani Energy Solutions Limited</v>
      </c>
      <c r="B41" s="22">
        <f t="shared" si="7"/>
        <v>4</v>
      </c>
      <c r="C41" s="5">
        <f>('Raw Data'!D38+'Raw Data'!E38-'Raw Data'!F38)/'Raw Data'!H38</f>
        <v>17.906468129506603</v>
      </c>
      <c r="D41" s="5">
        <f>'Raw Data'!C38/'Raw Data'!L38</f>
        <v>47.733035913427912</v>
      </c>
      <c r="E41" s="5">
        <f>'Raw Data'!C38/'Raw Data'!N38</f>
        <v>5.1880263958577784</v>
      </c>
      <c r="F41" s="12">
        <f>'Raw Data'!J38/'Raw Data'!M38</f>
        <v>0.3481931375737497</v>
      </c>
      <c r="G41" s="11">
        <f>'Raw Data'!I38/('Raw Data'!M38+'Raw Data'!E38)</f>
        <v>0.14101408466173157</v>
      </c>
      <c r="H41" s="5">
        <f>'Raw Data'!E38/'Raw Data'!M38</f>
        <v>5.8542818337043165</v>
      </c>
      <c r="I41" s="5">
        <f>'Raw Data'!I38/'Raw Data'!Q38</f>
        <v>-2.0669769764689683</v>
      </c>
      <c r="J41" s="11">
        <f>'Raw Data'!I38/'Raw Data'!O38</f>
        <v>0.26388993559916785</v>
      </c>
      <c r="K41" s="11">
        <f>IFERROR('Raw Data'!J38/'Raw Data'!O38, "")</f>
        <v>9.50645472526465E-2</v>
      </c>
      <c r="L41" s="11">
        <f>'Raw Data'!R38/'Raw Data'!C38</f>
        <v>2.0949851206063498E-2</v>
      </c>
      <c r="M41" s="23">
        <f t="shared" si="8"/>
        <v>47.333333333333336</v>
      </c>
      <c r="N41" s="23">
        <f t="shared" si="9"/>
        <v>20.75</v>
      </c>
      <c r="O41" s="23">
        <f t="shared" si="10"/>
        <v>40</v>
      </c>
      <c r="P41" s="23">
        <f t="shared" si="11"/>
        <v>38</v>
      </c>
      <c r="Q41" s="23">
        <f t="shared" si="12"/>
        <v>36.520833333333336</v>
      </c>
      <c r="R41" s="16" t="str">
        <f t="shared" si="13"/>
        <v>Weak/Avoid</v>
      </c>
    </row>
    <row r="42" spans="1:18" x14ac:dyDescent="0.3">
      <c r="A42" s="21" t="str">
        <f>'Raw Data'!B40</f>
        <v>Adani Green Energy Limited</v>
      </c>
      <c r="B42" s="22">
        <f t="shared" si="7"/>
        <v>3</v>
      </c>
      <c r="C42" s="5">
        <f>('Raw Data'!D40+'Raw Data'!E40-'Raw Data'!F40)/'Raw Data'!H40</f>
        <v>24.115197694719743</v>
      </c>
      <c r="D42" s="5">
        <f>'Raw Data'!C40/'Raw Data'!L40</f>
        <v>82.174779006283757</v>
      </c>
      <c r="E42" s="5">
        <f>'Raw Data'!C40/'Raw Data'!N40</f>
        <v>8.7977454848890524</v>
      </c>
      <c r="F42" s="12">
        <f>'Raw Data'!J40/'Raw Data'!M40</f>
        <v>0.63775480723942346</v>
      </c>
      <c r="G42" s="11">
        <f>'Raw Data'!I40/('Raw Data'!M40+'Raw Data'!E40)</f>
        <v>7.8966481513529987E-2</v>
      </c>
      <c r="H42" s="5">
        <f>'Raw Data'!E40/'Raw Data'!M40</f>
        <v>27.859266345566063</v>
      </c>
      <c r="I42" s="5">
        <f>'Raw Data'!I40/'Raw Data'!Q40</f>
        <v>-1.2193101110476645</v>
      </c>
      <c r="J42" s="11">
        <f>'Raw Data'!I40/'Raw Data'!O40</f>
        <v>0.59882079350106809</v>
      </c>
      <c r="K42" s="11">
        <f>IFERROR('Raw Data'!J40/'Raw Data'!O40, "")</f>
        <v>0.16758013627331764</v>
      </c>
      <c r="L42" s="11">
        <f>'Raw Data'!R40/'Raw Data'!C40</f>
        <v>1.2169183928362397E-2</v>
      </c>
      <c r="M42" s="23">
        <f t="shared" si="8"/>
        <v>51.333333333333336</v>
      </c>
      <c r="N42" s="23">
        <f t="shared" si="9"/>
        <v>14.5</v>
      </c>
      <c r="O42" s="23">
        <f t="shared" si="10"/>
        <v>37.5</v>
      </c>
      <c r="P42" s="23">
        <f t="shared" si="11"/>
        <v>41</v>
      </c>
      <c r="Q42" s="23">
        <f t="shared" si="12"/>
        <v>36.083333333333336</v>
      </c>
      <c r="R42" s="16" t="str">
        <f t="shared" si="13"/>
        <v>Weak/Avoid</v>
      </c>
    </row>
    <row r="43" spans="1:18" x14ac:dyDescent="0.3">
      <c r="A43" s="21" t="str">
        <f>'Raw Data'!B7</f>
        <v>Agni Green Power Limited</v>
      </c>
      <c r="B43" s="22">
        <f t="shared" si="7"/>
        <v>3</v>
      </c>
      <c r="C43" s="5">
        <f>('Raw Data'!D7+'Raw Data'!E7-'Raw Data'!F7)/'Raw Data'!H7</f>
        <v>18.870229876249567</v>
      </c>
      <c r="D43" s="5">
        <f>'Raw Data'!C7/'Raw Data'!L7</f>
        <v>71.116232249567375</v>
      </c>
      <c r="E43" s="5">
        <f>'Raw Data'!C7/'Raw Data'!N7</f>
        <v>1.4163723833870085</v>
      </c>
      <c r="F43" s="12">
        <f>'Raw Data'!J7/'Raw Data'!M7</f>
        <v>5.2522560708424863E-2</v>
      </c>
      <c r="G43" s="11">
        <f>'Raw Data'!I7/('Raw Data'!M7+'Raw Data'!E7)</f>
        <v>0.11353708357360484</v>
      </c>
      <c r="H43" s="5">
        <f>'Raw Data'!E7/'Raw Data'!M7</f>
        <v>0.82146539354868264</v>
      </c>
      <c r="I43" s="5">
        <f>'Raw Data'!I7/'Raw Data'!Q7</f>
        <v>-1.2603326700876181</v>
      </c>
      <c r="J43" s="11">
        <f>'Raw Data'!I7/'Raw Data'!O7</f>
        <v>6.0055236063165304E-2</v>
      </c>
      <c r="K43" s="11">
        <f>IFERROR('Raw Data'!J7/'Raw Data'!O7, "")</f>
        <v>1.5252397371140976E-2</v>
      </c>
      <c r="L43" s="11">
        <f>'Raw Data'!R7/'Raw Data'!C7</f>
        <v>1.4061487347792997E-2</v>
      </c>
      <c r="M43" s="23">
        <f t="shared" si="8"/>
        <v>37.333333333333336</v>
      </c>
      <c r="N43" s="23">
        <f t="shared" si="9"/>
        <v>40</v>
      </c>
      <c r="O43" s="23">
        <f t="shared" si="10"/>
        <v>28</v>
      </c>
      <c r="P43" s="23">
        <f t="shared" si="11"/>
        <v>39</v>
      </c>
      <c r="Q43" s="23">
        <f t="shared" si="12"/>
        <v>36.083333333333336</v>
      </c>
      <c r="R43" s="16" t="str">
        <f t="shared" si="13"/>
        <v>Weak/Avoid</v>
      </c>
    </row>
    <row r="44" spans="1:18" x14ac:dyDescent="0.3">
      <c r="A44" s="21" t="str">
        <f>'Raw Data'!B23</f>
        <v>SG Mart Limited</v>
      </c>
      <c r="B44" s="22">
        <f t="shared" si="7"/>
        <v>4</v>
      </c>
      <c r="C44" s="5">
        <f>('Raw Data'!D23+'Raw Data'!E23-'Raw Data'!F23)/'Raw Data'!H23</f>
        <v>31.718831435689896</v>
      </c>
      <c r="D44" s="5">
        <f>'Raw Data'!C23/'Raw Data'!L23</f>
        <v>34.26788387849988</v>
      </c>
      <c r="E44" s="5">
        <f>'Raw Data'!C23/'Raw Data'!N23</f>
        <v>2.9336815478739968</v>
      </c>
      <c r="F44" s="12">
        <f>'Raw Data'!J23/'Raw Data'!M23</f>
        <v>1.5162952356153989</v>
      </c>
      <c r="G44" s="11">
        <f>'Raw Data'!I23/('Raw Data'!M23+'Raw Data'!E23)</f>
        <v>0.12783449808507064</v>
      </c>
      <c r="H44" s="5">
        <f>'Raw Data'!E23/'Raw Data'!M23</f>
        <v>10.583866467427876</v>
      </c>
      <c r="I44" s="5">
        <f>'Raw Data'!I23/'Raw Data'!Q23</f>
        <v>-2.3014355668894053</v>
      </c>
      <c r="J44" s="11">
        <f>'Raw Data'!I23/'Raw Data'!O23</f>
        <v>1.7248475154224681E-2</v>
      </c>
      <c r="K44" s="11">
        <f>IFERROR('Raw Data'!J23/'Raw Data'!O23, "")</f>
        <v>1.7661714681944999E-2</v>
      </c>
      <c r="L44" s="11">
        <f>'Raw Data'!R23/'Raw Data'!C23</f>
        <v>2.9181842787421523E-2</v>
      </c>
      <c r="M44" s="23">
        <f t="shared" si="8"/>
        <v>45.333333333333336</v>
      </c>
      <c r="N44" s="23">
        <f t="shared" si="9"/>
        <v>30</v>
      </c>
      <c r="O44" s="23">
        <f t="shared" si="10"/>
        <v>42.5</v>
      </c>
      <c r="P44" s="23">
        <f t="shared" si="11"/>
        <v>35</v>
      </c>
      <c r="Q44" s="23">
        <f t="shared" si="12"/>
        <v>38.208333333333336</v>
      </c>
      <c r="R44" s="16" t="str">
        <f t="shared" si="13"/>
        <v>Weak/Avoid</v>
      </c>
    </row>
    <row r="45" spans="1:18" x14ac:dyDescent="0.3">
      <c r="A45" s="17" t="str">
        <f>'Raw Data'!B10</f>
        <v>Gita Renewable Energy Limited</v>
      </c>
      <c r="B45" s="18">
        <f t="shared" si="7"/>
        <v>1</v>
      </c>
      <c r="C45" s="5">
        <f>('Raw Data'!D10+'Raw Data'!E10-'Raw Data'!F10)/'Raw Data'!H10</f>
        <v>3864.1414286079998</v>
      </c>
      <c r="D45" s="5">
        <f>'Raw Data'!C10/'Raw Data'!L10</f>
        <v>-135.35335290438559</v>
      </c>
      <c r="E45" s="5">
        <f>'Raw Data'!C10/'Raw Data'!N10</f>
        <v>2.8881470228739272</v>
      </c>
      <c r="F45" s="12">
        <f>'Raw Data'!J10/'Raw Data'!M10</f>
        <v>-3.1263911792577495E-2</v>
      </c>
      <c r="G45" s="11">
        <f>'Raw Data'!I10/('Raw Data'!M10+'Raw Data'!E10)</f>
        <v>-4.5098577140795626E-2</v>
      </c>
      <c r="H45" s="5">
        <f>'Raw Data'!E10/'Raw Data'!M10</f>
        <v>0</v>
      </c>
      <c r="I45" s="5">
        <f>'Raw Data'!I10/'Raw Data'!Q10</f>
        <v>37.150662251655625</v>
      </c>
      <c r="J45" s="11">
        <f>'Raw Data'!I10/'Raw Data'!O10</f>
        <v>-28.4758883248731</v>
      </c>
      <c r="K45" s="11">
        <f>IFERROR('Raw Data'!J10/'Raw Data'!O10, "")</f>
        <v>-19.74048223350254</v>
      </c>
      <c r="L45" s="11">
        <f>'Raw Data'!R10/'Raw Data'!C10</f>
        <v>-7.3880696602056546E-3</v>
      </c>
      <c r="M45" s="23">
        <f t="shared" si="8"/>
        <v>33</v>
      </c>
      <c r="N45" s="23">
        <f t="shared" si="9"/>
        <v>53.5</v>
      </c>
      <c r="O45" s="23">
        <f t="shared" si="10"/>
        <v>10.5</v>
      </c>
      <c r="P45" s="23">
        <f t="shared" si="11"/>
        <v>50</v>
      </c>
      <c r="Q45" s="23">
        <f t="shared" si="12"/>
        <v>36.75</v>
      </c>
      <c r="R45" s="16" t="str">
        <f t="shared" si="13"/>
        <v>Weak/Avoid</v>
      </c>
    </row>
    <row r="46" spans="1:18" x14ac:dyDescent="0.3">
      <c r="A46" s="17" t="str">
        <f>'Raw Data'!B16</f>
        <v>EKI Energy Services Limited</v>
      </c>
      <c r="B46" s="18">
        <f t="shared" si="7"/>
        <v>0</v>
      </c>
      <c r="C46" s="5">
        <f>('Raw Data'!D16+'Raw Data'!E16-'Raw Data'!F16)/'Raw Data'!H16</f>
        <v>-22.65543364133692</v>
      </c>
      <c r="D46" s="5">
        <f>'Raw Data'!C16/'Raw Data'!L16</f>
        <v>-17.907426972049802</v>
      </c>
      <c r="E46" s="5">
        <f>'Raw Data'!C16/'Raw Data'!N16</f>
        <v>0.42109688537875711</v>
      </c>
      <c r="F46" s="12">
        <f>'Raw Data'!J16/'Raw Data'!M16</f>
        <v>-2.5001334021706536E-2</v>
      </c>
      <c r="G46" s="11">
        <f>'Raw Data'!I16/('Raw Data'!M16+'Raw Data'!E16)</f>
        <v>-7.6650218866030698E-2</v>
      </c>
      <c r="H46" s="5">
        <f>'Raw Data'!E16/'Raw Data'!M16</f>
        <v>2.2123160712969928E-3</v>
      </c>
      <c r="I46" s="5">
        <f>'Raw Data'!I16/'Raw Data'!Q16</f>
        <v>150.21603071754259</v>
      </c>
      <c r="J46" s="11">
        <f>'Raw Data'!I16/'Raw Data'!O16</f>
        <v>-0.20589485041009556</v>
      </c>
      <c r="K46" s="11">
        <f>IFERROR('Raw Data'!J16/'Raw Data'!O16, "")</f>
        <v>-6.7009369618883319E-2</v>
      </c>
      <c r="L46" s="11">
        <f>'Raw Data'!R16/'Raw Data'!C16</f>
        <v>-5.584275181246396E-2</v>
      </c>
      <c r="M46" s="23">
        <f t="shared" si="8"/>
        <v>5.666666666666667</v>
      </c>
      <c r="N46" s="23">
        <f t="shared" si="9"/>
        <v>51.5</v>
      </c>
      <c r="O46" s="23">
        <f t="shared" si="10"/>
        <v>10</v>
      </c>
      <c r="P46" s="23">
        <f t="shared" si="11"/>
        <v>55</v>
      </c>
      <c r="Q46" s="23">
        <f t="shared" si="12"/>
        <v>30.541666666666664</v>
      </c>
      <c r="R46" s="27" t="str">
        <f t="shared" si="13"/>
        <v>Average</v>
      </c>
    </row>
    <row r="47" spans="1:18" x14ac:dyDescent="0.3">
      <c r="A47" s="17" t="str">
        <f>'Raw Data'!B13</f>
        <v>Karma Energy Limited</v>
      </c>
      <c r="B47" s="18">
        <f t="shared" si="7"/>
        <v>0</v>
      </c>
      <c r="C47" s="5">
        <f>('Raw Data'!D13+'Raw Data'!E13-'Raw Data'!F13)/'Raw Data'!H13</f>
        <v>-2555.1064662723434</v>
      </c>
      <c r="D47" s="5">
        <f>'Raw Data'!C13/'Raw Data'!L13</f>
        <v>112.3564858827455</v>
      </c>
      <c r="E47" s="5">
        <f>'Raw Data'!C13/'Raw Data'!N13</f>
        <v>1.511170153617349</v>
      </c>
      <c r="F47" s="12">
        <f>'Raw Data'!J13/'Raw Data'!M13</f>
        <v>1.8545855838379893E-2</v>
      </c>
      <c r="G47" s="11">
        <f>'Raw Data'!I13/('Raw Data'!M13+'Raw Data'!E13)</f>
        <v>-5.7219325905117267E-2</v>
      </c>
      <c r="H47" s="5">
        <f>'Raw Data'!E13/'Raw Data'!M13</f>
        <v>5.759918238573461E-2</v>
      </c>
      <c r="I47" s="5">
        <f>'Raw Data'!I13/'Raw Data'!Q13</f>
        <v>10.661307887776797</v>
      </c>
      <c r="J47" s="11">
        <f>'Raw Data'!I13/'Raw Data'!O13</f>
        <v>-0.1908557603844929</v>
      </c>
      <c r="K47" s="11">
        <f>IFERROR('Raw Data'!J13/'Raw Data'!O13, "")</f>
        <v>5.8490900600561301E-2</v>
      </c>
      <c r="L47" s="11">
        <f>'Raw Data'!R13/'Raw Data'!C13</f>
        <v>8.9002427598491602E-3</v>
      </c>
      <c r="M47" s="23">
        <f t="shared" si="8"/>
        <v>25.333333333333332</v>
      </c>
      <c r="N47" s="23">
        <f t="shared" si="9"/>
        <v>47.25</v>
      </c>
      <c r="O47" s="23">
        <f t="shared" si="10"/>
        <v>16</v>
      </c>
      <c r="P47" s="23">
        <f t="shared" si="11"/>
        <v>44</v>
      </c>
      <c r="Q47" s="23">
        <f t="shared" si="12"/>
        <v>33.145833333333329</v>
      </c>
      <c r="R47" s="27" t="str">
        <f t="shared" si="13"/>
        <v>Average</v>
      </c>
    </row>
    <row r="48" spans="1:18" x14ac:dyDescent="0.3">
      <c r="A48" s="17" t="str">
        <f>'Raw Data'!B56</f>
        <v>Rajasthan Cylinders and Containers Limited</v>
      </c>
      <c r="B48" s="18">
        <f t="shared" si="7"/>
        <v>0</v>
      </c>
      <c r="C48" s="5">
        <f>('Raw Data'!D56+'Raw Data'!E56-'Raw Data'!F56)/'Raw Data'!H56</f>
        <v>-4.9189496282030083</v>
      </c>
      <c r="D48" s="5">
        <f>'Raw Data'!C56/'Raw Data'!L56</f>
        <v>-9.5000860694436113</v>
      </c>
      <c r="E48" s="5">
        <f>'Raw Data'!C56/'Raw Data'!N56</f>
        <v>0.79487937255165197</v>
      </c>
      <c r="F48" s="12">
        <f>'Raw Data'!J56/'Raw Data'!M56</f>
        <v>-0.12011115819669459</v>
      </c>
      <c r="G48" s="11">
        <f>'Raw Data'!I56/('Raw Data'!M56+'Raw Data'!E56)</f>
        <v>-0.2291594652635596</v>
      </c>
      <c r="H48" s="5">
        <f>'Raw Data'!E56/'Raw Data'!M56</f>
        <v>4.205593767317535E-2</v>
      </c>
      <c r="I48" s="5">
        <f>'Raw Data'!I56/'Raw Data'!Q56</f>
        <v>65.856333203999995</v>
      </c>
      <c r="J48" s="11">
        <f>'Raw Data'!I56/'Raw Data'!O56</f>
        <v>-28.633188349565213</v>
      </c>
      <c r="K48" s="11">
        <f>IFERROR('Raw Data'!J56/'Raw Data'!O56, "")</f>
        <v>-14.402047273043475</v>
      </c>
      <c r="L48" s="11">
        <f>'Raw Data'!R56/'Raw Data'!C56</f>
        <v>-0.10526220422533147</v>
      </c>
      <c r="M48" s="23">
        <f t="shared" si="8"/>
        <v>8</v>
      </c>
      <c r="N48" s="23">
        <f t="shared" si="9"/>
        <v>55.75</v>
      </c>
      <c r="O48" s="23">
        <f t="shared" si="10"/>
        <v>14</v>
      </c>
      <c r="P48" s="23">
        <f t="shared" si="11"/>
        <v>56</v>
      </c>
      <c r="Q48" s="23">
        <f t="shared" si="12"/>
        <v>33.4375</v>
      </c>
      <c r="R48" s="27" t="str">
        <f t="shared" si="13"/>
        <v>Average</v>
      </c>
    </row>
    <row r="49" spans="1:18" x14ac:dyDescent="0.3">
      <c r="A49" s="17" t="str">
        <f>'Raw Data'!B52</f>
        <v>Reliance Power Limited</v>
      </c>
      <c r="B49" s="18">
        <f t="shared" si="7"/>
        <v>2</v>
      </c>
      <c r="C49" s="5">
        <f>('Raw Data'!D52+'Raw Data'!E52-'Raw Data'!F52)/'Raw Data'!H52</f>
        <v>21.944769704949799</v>
      </c>
      <c r="D49" s="5">
        <f>'Raw Data'!C52/'Raw Data'!L52</f>
        <v>-6.6845361299446715</v>
      </c>
      <c r="E49" s="5">
        <f>'Raw Data'!C52/'Raw Data'!N52</f>
        <v>1.0762588898003262</v>
      </c>
      <c r="F49" s="12">
        <f>'Raw Data'!J52/'Raw Data'!M52</f>
        <v>1.3822371680292009</v>
      </c>
      <c r="G49" s="11">
        <f>'Raw Data'!I52/('Raw Data'!M52+'Raw Data'!E52)</f>
        <v>8.9260855269830148E-3</v>
      </c>
      <c r="H49" s="5">
        <f>'Raw Data'!E52/'Raw Data'!M52</f>
        <v>-13.871624321269636</v>
      </c>
      <c r="I49" s="5">
        <f>'Raw Data'!I52/'Raw Data'!Q52</f>
        <v>-0.11663732858710302</v>
      </c>
      <c r="J49" s="11">
        <f>'Raw Data'!I52/'Raw Data'!O52</f>
        <v>1.9500659208406008E-2</v>
      </c>
      <c r="K49" s="11">
        <f>IFERROR('Raw Data'!J52/'Raw Data'!O52, "")</f>
        <v>-0.23460510604096477</v>
      </c>
      <c r="L49" s="11">
        <f>'Raw Data'!R52/'Raw Data'!C52</f>
        <v>-0.14959901189258396</v>
      </c>
      <c r="M49" s="23">
        <f t="shared" si="8"/>
        <v>21.666666666666668</v>
      </c>
      <c r="N49" s="23">
        <f t="shared" si="9"/>
        <v>36.25</v>
      </c>
      <c r="O49" s="23">
        <f t="shared" si="10"/>
        <v>7</v>
      </c>
      <c r="P49" s="23">
        <f t="shared" si="11"/>
        <v>57</v>
      </c>
      <c r="Q49" s="23">
        <f t="shared" si="12"/>
        <v>30.479166666666668</v>
      </c>
      <c r="R49" s="27" t="str">
        <f t="shared" si="13"/>
        <v>Average</v>
      </c>
    </row>
    <row r="50" spans="1:18" x14ac:dyDescent="0.3">
      <c r="A50" s="17" t="str">
        <f>'Raw Data'!B32</f>
        <v>SJVN Limited</v>
      </c>
      <c r="B50" s="18">
        <f t="shared" si="7"/>
        <v>2</v>
      </c>
      <c r="C50" s="5">
        <f>('Raw Data'!D32+'Raw Data'!E32-'Raw Data'!F32)/'Raw Data'!H32</f>
        <v>22.769177013602754</v>
      </c>
      <c r="D50" s="5">
        <f>'Raw Data'!C32/'Raw Data'!L32</f>
        <v>32.840987359658421</v>
      </c>
      <c r="E50" s="5">
        <f>'Raw Data'!C32/'Raw Data'!N32</f>
        <v>1.8985195285559826</v>
      </c>
      <c r="F50" s="12">
        <f>'Raw Data'!J32/'Raw Data'!M32</f>
        <v>8.0473840946854391E-2</v>
      </c>
      <c r="G50" s="11">
        <f>'Raw Data'!I32/('Raw Data'!M32+'Raw Data'!E32)</f>
        <v>4.1516920281339943E-2</v>
      </c>
      <c r="H50" s="5">
        <f>'Raw Data'!E32/'Raw Data'!M32</f>
        <v>2.653320692724209</v>
      </c>
      <c r="I50" s="5">
        <f>'Raw Data'!I32/'Raw Data'!Q32</f>
        <v>-2.07819793651201</v>
      </c>
      <c r="J50" s="11">
        <f>'Raw Data'!I32/'Raw Data'!O32</f>
        <v>0.5028857323239696</v>
      </c>
      <c r="K50" s="11">
        <f>IFERROR('Raw Data'!J32/'Raw Data'!O32, "")</f>
        <v>0.26681553829083737</v>
      </c>
      <c r="L50" s="11">
        <f>'Raw Data'!R32/'Raw Data'!C32</f>
        <v>3.0449754419636946E-2</v>
      </c>
      <c r="M50" s="23">
        <f t="shared" si="8"/>
        <v>39.666666666666664</v>
      </c>
      <c r="N50" s="23">
        <f t="shared" si="9"/>
        <v>22</v>
      </c>
      <c r="O50" s="23">
        <f t="shared" si="10"/>
        <v>39</v>
      </c>
      <c r="P50" s="23">
        <f t="shared" si="11"/>
        <v>33</v>
      </c>
      <c r="Q50" s="23">
        <f t="shared" si="12"/>
        <v>33.416666666666664</v>
      </c>
      <c r="R50" s="27" t="str">
        <f t="shared" si="13"/>
        <v>Average</v>
      </c>
    </row>
    <row r="51" spans="1:18" x14ac:dyDescent="0.3">
      <c r="A51" s="17" t="str">
        <f>'Raw Data'!B20</f>
        <v>Texmaco Infrastructure &amp; Holdings Limited</v>
      </c>
      <c r="B51" s="18">
        <f t="shared" si="7"/>
        <v>0</v>
      </c>
      <c r="C51" s="5">
        <f>('Raw Data'!D20+'Raw Data'!E20-'Raw Data'!F20)/'Raw Data'!H20</f>
        <v>-636.0639313365549</v>
      </c>
      <c r="D51" s="5">
        <f>'Raw Data'!C20/'Raw Data'!L20</f>
        <v>220.35427128413471</v>
      </c>
      <c r="E51" s="5">
        <f>'Raw Data'!C20/'Raw Data'!N20</f>
        <v>0.8312481962586783</v>
      </c>
      <c r="F51" s="12">
        <f>'Raw Data'!J20/'Raw Data'!M20</f>
        <v>1.2398546144593557E-2</v>
      </c>
      <c r="G51" s="11">
        <f>'Raw Data'!I20/('Raw Data'!M20+'Raw Data'!E20)</f>
        <v>-9.8267940374742405E-3</v>
      </c>
      <c r="H51" s="5">
        <f>'Raw Data'!E20/'Raw Data'!M20</f>
        <v>7.3042332147785605E-2</v>
      </c>
      <c r="I51" s="5">
        <f>'Raw Data'!I20/'Raw Data'!Q20</f>
        <v>1.8197874485562702</v>
      </c>
      <c r="J51" s="11">
        <f>'Raw Data'!I20/'Raw Data'!O20</f>
        <v>-1.939289901630094</v>
      </c>
      <c r="K51" s="11">
        <f>IFERROR('Raw Data'!J20/'Raw Data'!O20, "")</f>
        <v>2.2802622082758619</v>
      </c>
      <c r="L51" s="11">
        <f>'Raw Data'!R20/'Raw Data'!C20</f>
        <v>4.5381466588889259E-3</v>
      </c>
      <c r="M51" s="23">
        <f t="shared" si="8"/>
        <v>23.333333333333332</v>
      </c>
      <c r="N51" s="23">
        <f t="shared" si="9"/>
        <v>37.5</v>
      </c>
      <c r="O51" s="23">
        <f t="shared" si="10"/>
        <v>18</v>
      </c>
      <c r="P51" s="23">
        <f t="shared" si="11"/>
        <v>48</v>
      </c>
      <c r="Q51" s="23">
        <f t="shared" si="12"/>
        <v>31.708333333333332</v>
      </c>
      <c r="R51" s="27" t="str">
        <f t="shared" si="13"/>
        <v>Average</v>
      </c>
    </row>
    <row r="52" spans="1:18" x14ac:dyDescent="0.3">
      <c r="A52" s="17" t="str">
        <f>'Raw Data'!B46</f>
        <v>Ujaas Energy Limited</v>
      </c>
      <c r="B52" s="18">
        <f t="shared" si="7"/>
        <v>1</v>
      </c>
      <c r="C52" s="5">
        <f>('Raw Data'!D46+'Raw Data'!E46-'Raw Data'!F46)/'Raw Data'!H46</f>
        <v>-1306.1289159095313</v>
      </c>
      <c r="D52" s="5">
        <f>'Raw Data'!C46/'Raw Data'!L46</f>
        <v>222.14314800566257</v>
      </c>
      <c r="E52" s="5">
        <f>'Raw Data'!C46/'Raw Data'!N46</f>
        <v>29.878085394515999</v>
      </c>
      <c r="F52" s="12">
        <f>'Raw Data'!J46/'Raw Data'!M46</f>
        <v>-0.77459109746385968</v>
      </c>
      <c r="G52" s="11">
        <f>'Raw Data'!I46/('Raw Data'!M46+'Raw Data'!E46)</f>
        <v>1.0112111497187612E-2</v>
      </c>
      <c r="H52" s="5">
        <f>'Raw Data'!E46/'Raw Data'!M46</f>
        <v>-2.4716712605481228</v>
      </c>
      <c r="I52" s="5">
        <f>'Raw Data'!I46/'Raw Data'!Q46</f>
        <v>-0.41402757245901634</v>
      </c>
      <c r="J52" s="11">
        <f>'Raw Data'!I46/'Raw Data'!O46</f>
        <v>6.2029904331310929E-3</v>
      </c>
      <c r="K52" s="11">
        <f>IFERROR('Raw Data'!J46/'Raw Data'!O46, "")</f>
        <v>0.32286498964634935</v>
      </c>
      <c r="L52" s="11">
        <f>'Raw Data'!R46/'Raw Data'!C46</f>
        <v>4.5016018228683308E-3</v>
      </c>
      <c r="M52" s="23">
        <f t="shared" si="8"/>
        <v>40</v>
      </c>
      <c r="N52" s="23">
        <f t="shared" si="9"/>
        <v>38.25</v>
      </c>
      <c r="O52" s="23">
        <f t="shared" si="10"/>
        <v>9</v>
      </c>
      <c r="P52" s="23">
        <f t="shared" si="11"/>
        <v>49</v>
      </c>
      <c r="Q52" s="23">
        <f t="shared" si="12"/>
        <v>34.0625</v>
      </c>
      <c r="R52" s="27" t="str">
        <f t="shared" si="13"/>
        <v>Average</v>
      </c>
    </row>
    <row r="53" spans="1:18" x14ac:dyDescent="0.3">
      <c r="A53" s="17" t="str">
        <f>'Raw Data'!B44</f>
        <v>Venlon Enterprises Limited</v>
      </c>
      <c r="B53" s="18">
        <f t="shared" si="7"/>
        <v>0</v>
      </c>
      <c r="C53" s="5">
        <f>('Raw Data'!D44+'Raw Data'!E44-'Raw Data'!F44)/'Raw Data'!H44</f>
        <v>-4.5721246731269733</v>
      </c>
      <c r="D53" s="5">
        <f>'Raw Data'!C44/'Raw Data'!L44</f>
        <v>-2.6462983333571275</v>
      </c>
      <c r="E53" s="5">
        <f>'Raw Data'!C44/'Raw Data'!N44</f>
        <v>4.6572795224419128</v>
      </c>
      <c r="F53" s="12">
        <f>'Raw Data'!J44/'Raw Data'!M44</f>
        <v>0.11219227613284335</v>
      </c>
      <c r="G53" s="11">
        <f>'Raw Data'!I44/('Raw Data'!M44+'Raw Data'!E44)</f>
        <v>0.14522415932532259</v>
      </c>
      <c r="H53" s="5">
        <f>'Raw Data'!E44/'Raw Data'!M44</f>
        <v>-0.18758404633863585</v>
      </c>
      <c r="I53" s="5">
        <f>'Raw Data'!I44/'Raw Data'!Q44</f>
        <v>186.98215286769229</v>
      </c>
      <c r="J53" s="11">
        <f>'Raw Data'!I44/'Raw Data'!O44</f>
        <v>-1.2290082581393922</v>
      </c>
      <c r="K53" s="11">
        <f>IFERROR('Raw Data'!J44/'Raw Data'!O44, "")</f>
        <v>-1.1686930079672371</v>
      </c>
      <c r="L53" s="11">
        <f>'Raw Data'!R44/'Raw Data'!C44</f>
        <v>-0.37788634312118063</v>
      </c>
      <c r="M53" s="23">
        <f t="shared" si="8"/>
        <v>23</v>
      </c>
      <c r="N53" s="23">
        <f t="shared" si="9"/>
        <v>42</v>
      </c>
      <c r="O53" s="23">
        <f t="shared" si="10"/>
        <v>8</v>
      </c>
      <c r="P53" s="23">
        <f t="shared" si="11"/>
        <v>58</v>
      </c>
      <c r="Q53" s="23">
        <f t="shared" si="12"/>
        <v>32.75</v>
      </c>
      <c r="R53" s="27" t="str">
        <f t="shared" si="13"/>
        <v>Average</v>
      </c>
    </row>
    <row r="54" spans="1:18" x14ac:dyDescent="0.3">
      <c r="A54" s="17" t="str">
        <f>'Raw Data'!B43</f>
        <v>Jayshree Chemicals Limited</v>
      </c>
      <c r="B54" s="18">
        <f t="shared" si="7"/>
        <v>0</v>
      </c>
      <c r="C54" s="5">
        <f>('Raw Data'!D43+'Raw Data'!E43-'Raw Data'!F43)/'Raw Data'!H43</f>
        <v>-19.841737490708493</v>
      </c>
      <c r="D54" s="5">
        <f>'Raw Data'!C43/'Raw Data'!L43</f>
        <v>-76.032732430827821</v>
      </c>
      <c r="E54" s="5">
        <f>'Raw Data'!C43/'Raw Data'!N43</f>
        <v>1.5463054576402813</v>
      </c>
      <c r="F54" s="12">
        <f>'Raw Data'!J43/'Raw Data'!M43</f>
        <v>6.3428082589387811E-3</v>
      </c>
      <c r="G54" s="11">
        <f>'Raw Data'!I43/('Raw Data'!M43+'Raw Data'!E43)</f>
        <v>2.3196371560611051E-2</v>
      </c>
      <c r="H54" s="5">
        <f>'Raw Data'!E43/'Raw Data'!M43</f>
        <v>-2.2619714856439054E-2</v>
      </c>
      <c r="I54" s="5">
        <f>'Raw Data'!I43/'Raw Data'!Q43</f>
        <v>14.393986254295534</v>
      </c>
      <c r="J54" s="11">
        <f>'Raw Data'!I43/'Raw Data'!O43</f>
        <v>-4.0169360271782001E-2</v>
      </c>
      <c r="K54" s="11">
        <f>IFERROR('Raw Data'!J43/'Raw Data'!O43, "")</f>
        <v>-1.1238099348116398E-2</v>
      </c>
      <c r="L54" s="11">
        <f>'Raw Data'!R43/'Raw Data'!C43</f>
        <v>-1.3152230204402668E-2</v>
      </c>
      <c r="M54" s="23">
        <f t="shared" si="8"/>
        <v>10.666666666666666</v>
      </c>
      <c r="N54" s="23">
        <f t="shared" si="9"/>
        <v>47.5</v>
      </c>
      <c r="O54" s="23">
        <f t="shared" si="10"/>
        <v>10.5</v>
      </c>
      <c r="P54" s="23">
        <f t="shared" si="11"/>
        <v>51</v>
      </c>
      <c r="Q54" s="23">
        <f t="shared" si="12"/>
        <v>29.916666666666664</v>
      </c>
      <c r="R54" s="15" t="str">
        <f t="shared" si="13"/>
        <v>Decent</v>
      </c>
    </row>
    <row r="55" spans="1:18" x14ac:dyDescent="0.3">
      <c r="A55" s="17" t="str">
        <f>'Raw Data'!B9</f>
        <v>SRM Energy Limited</v>
      </c>
      <c r="B55" s="18">
        <f t="shared" si="7"/>
        <v>0</v>
      </c>
      <c r="C55" s="5">
        <f>('Raw Data'!D9+'Raw Data'!E9-'Raw Data'!F9)/'Raw Data'!H9</f>
        <v>-163.11270235219726</v>
      </c>
      <c r="D55" s="5">
        <f>'Raw Data'!C9/'Raw Data'!L9</f>
        <v>-42.394728446848639</v>
      </c>
      <c r="E55" s="5">
        <f>'Raw Data'!C9/'Raw Data'!N9</f>
        <v>-0.35827684871732102</v>
      </c>
      <c r="F55" s="12">
        <f>'Raw Data'!J9/'Raw Data'!M9</f>
        <v>6.9077406297093774E-3</v>
      </c>
      <c r="G55" s="11">
        <f>'Raw Data'!I9/('Raw Data'!M9+'Raw Data'!E9)</f>
        <v>4.0423079347640091E-2</v>
      </c>
      <c r="H55" s="5">
        <f>'Raw Data'!E9/'Raw Data'!M9</f>
        <v>-0.82915581033791741</v>
      </c>
      <c r="I55" s="5">
        <f>'Raw Data'!I9/'Raw Data'!Q9</f>
        <v>3740.583333333333</v>
      </c>
      <c r="J55" s="11">
        <f>'Raw Data'!I9/'Raw Data'!O9</f>
        <v>-403.53053903999995</v>
      </c>
      <c r="K55" s="11">
        <f>IFERROR('Raw Data'!J9/'Raw Data'!O9, "")</f>
        <v>-403.62942815999997</v>
      </c>
      <c r="L55" s="11">
        <f>'Raw Data'!R9/'Raw Data'!C9</f>
        <v>-2.3587838314702871E-2</v>
      </c>
      <c r="M55" s="23">
        <f t="shared" si="8"/>
        <v>3</v>
      </c>
      <c r="N55" s="23">
        <f t="shared" si="9"/>
        <v>51.5</v>
      </c>
      <c r="O55" s="23">
        <f t="shared" si="10"/>
        <v>5.5</v>
      </c>
      <c r="P55" s="23">
        <f t="shared" si="11"/>
        <v>53</v>
      </c>
      <c r="Q55" s="23">
        <f t="shared" si="12"/>
        <v>28.25</v>
      </c>
      <c r="R55" s="15" t="str">
        <f t="shared" si="13"/>
        <v>Decent</v>
      </c>
    </row>
    <row r="56" spans="1:18" x14ac:dyDescent="0.3">
      <c r="A56" s="17" t="str">
        <f>'Raw Data'!B27</f>
        <v>Reliance Infrastructure Limited</v>
      </c>
      <c r="B56" s="18">
        <f t="shared" si="7"/>
        <v>2</v>
      </c>
      <c r="C56" s="5">
        <f>('Raw Data'!D27+'Raw Data'!E27-'Raw Data'!F27)/'Raw Data'!H27</f>
        <v>1.9981267193575338</v>
      </c>
      <c r="D56" s="5">
        <f>'Raw Data'!C27/'Raw Data'!L27</f>
        <v>0.64106730662755718</v>
      </c>
      <c r="E56" s="5">
        <f>'Raw Data'!C27/'Raw Data'!N27</f>
        <v>0.33806546453485181</v>
      </c>
      <c r="F56" s="12">
        <f>'Raw Data'!J27/'Raw Data'!M27</f>
        <v>-1.6204776846272169</v>
      </c>
      <c r="G56" s="11">
        <f>'Raw Data'!I27/('Raw Data'!M27+'Raw Data'!E27)</f>
        <v>0.99709923949831036</v>
      </c>
      <c r="H56" s="5">
        <f>'Raw Data'!E27/'Raw Data'!M27</f>
        <v>-1.9705016064703609</v>
      </c>
      <c r="I56" s="5">
        <f>'Raw Data'!I27/'Raw Data'!Q27</f>
        <v>-2.1842839520711022</v>
      </c>
      <c r="J56" s="11">
        <f>'Raw Data'!I27/'Raw Data'!O27</f>
        <v>0.14003802427577022</v>
      </c>
      <c r="K56" s="11">
        <f>IFERROR('Raw Data'!J27/'Raw Data'!O27, "")</f>
        <v>0.23450623064996801</v>
      </c>
      <c r="L56" s="11">
        <f>'Raw Data'!R27/'Raw Data'!C27</f>
        <v>1.5598986091814115</v>
      </c>
      <c r="M56" s="23">
        <f t="shared" si="8"/>
        <v>8.6666666666666661</v>
      </c>
      <c r="N56" s="23">
        <f t="shared" si="9"/>
        <v>24.25</v>
      </c>
      <c r="O56" s="23">
        <f t="shared" si="10"/>
        <v>15</v>
      </c>
      <c r="P56" s="23">
        <f t="shared" si="11"/>
        <v>2</v>
      </c>
      <c r="Q56" s="23">
        <f t="shared" si="12"/>
        <v>12.479166666666666</v>
      </c>
      <c r="R56" s="25" t="str">
        <f t="shared" si="13"/>
        <v>Excellent</v>
      </c>
    </row>
    <row r="57" spans="1:18" x14ac:dyDescent="0.3">
      <c r="A57" s="17" t="str">
        <f>'Raw Data'!B29</f>
        <v>Swan Corp Limited</v>
      </c>
      <c r="B57" s="18">
        <f t="shared" si="7"/>
        <v>0</v>
      </c>
      <c r="C57" s="5">
        <f>('Raw Data'!D29+'Raw Data'!E29-'Raw Data'!F29)/'Raw Data'!H29</f>
        <v>-33.642668018200737</v>
      </c>
      <c r="D57" s="5">
        <f>'Raw Data'!C29/'Raw Data'!L29</f>
        <v>15.38920355808011</v>
      </c>
      <c r="E57" s="5">
        <f>'Raw Data'!C29/'Raw Data'!N29</f>
        <v>1.3824708280015268</v>
      </c>
      <c r="F57" s="12">
        <f>'Raw Data'!J29/'Raw Data'!M29</f>
        <v>0.49887254785905899</v>
      </c>
      <c r="G57" s="11">
        <f>'Raw Data'!I29/('Raw Data'!M29+'Raw Data'!E29)</f>
        <v>-0.15214029197645082</v>
      </c>
      <c r="H57" s="5">
        <f>'Raw Data'!E29/'Raw Data'!M29</f>
        <v>2.3300697454588009</v>
      </c>
      <c r="I57" s="5">
        <f>'Raw Data'!I29/'Raw Data'!Q29</f>
        <v>4.1550741923288141</v>
      </c>
      <c r="J57" s="11">
        <f>'Raw Data'!I29/'Raw Data'!O29</f>
        <v>-0.12883678248726596</v>
      </c>
      <c r="K57" s="11">
        <f>IFERROR('Raw Data'!J29/'Raw Data'!O29, "")</f>
        <v>0.12686210157697542</v>
      </c>
      <c r="L57" s="11">
        <f>'Raw Data'!R29/'Raw Data'!C29</f>
        <v>6.4980620746610984E-2</v>
      </c>
      <c r="M57" s="23">
        <f t="shared" si="8"/>
        <v>16</v>
      </c>
      <c r="N57" s="23">
        <f t="shared" si="9"/>
        <v>34.75</v>
      </c>
      <c r="O57" s="23">
        <f t="shared" si="10"/>
        <v>30.5</v>
      </c>
      <c r="P57" s="23">
        <f t="shared" si="11"/>
        <v>16</v>
      </c>
      <c r="Q57" s="23">
        <f t="shared" si="12"/>
        <v>24.3125</v>
      </c>
      <c r="R57" s="26" t="str">
        <f t="shared" si="13"/>
        <v>Very Good</v>
      </c>
    </row>
    <row r="58" spans="1:18" x14ac:dyDescent="0.3">
      <c r="A58" s="17" t="str">
        <f>'Raw Data'!B18</f>
        <v>India Power Corporation Limited</v>
      </c>
      <c r="B58" s="18">
        <f t="shared" si="7"/>
        <v>0</v>
      </c>
      <c r="C58" s="5">
        <f>('Raw Data'!D18+'Raw Data'!E18-'Raw Data'!F18)/'Raw Data'!H18</f>
        <v>465.61414749768738</v>
      </c>
      <c r="D58" s="5">
        <f>'Raw Data'!C18/'Raw Data'!L18</f>
        <v>137.40559276073699</v>
      </c>
      <c r="E58" s="5">
        <f>'Raw Data'!C18/'Raw Data'!N18</f>
        <v>1.086497589902863</v>
      </c>
      <c r="F58" s="12">
        <f>'Raw Data'!J18/'Raw Data'!M18</f>
        <v>7.0645928960232128E-3</v>
      </c>
      <c r="G58" s="11">
        <f>'Raw Data'!I18/('Raw Data'!M18+'Raw Data'!E18)</f>
        <v>-3.0825758481126626E-2</v>
      </c>
      <c r="H58" s="5">
        <f>'Raw Data'!E18/'Raw Data'!M18</f>
        <v>0.15826079943903765</v>
      </c>
      <c r="I58" s="5">
        <f>'Raw Data'!I18/'Raw Data'!Q18</f>
        <v>1.4855891662554719</v>
      </c>
      <c r="J58" s="11">
        <f>'Raw Data'!I18/'Raw Data'!O18</f>
        <v>-5.7615490966774451E-2</v>
      </c>
      <c r="K58" s="11">
        <f>IFERROR('Raw Data'!J18/'Raw Data'!O18, "")</f>
        <v>1.1400037442072825E-2</v>
      </c>
      <c r="L58" s="11">
        <f>'Raw Data'!R18/'Raw Data'!C18</f>
        <v>7.2777241443242437E-3</v>
      </c>
      <c r="M58" s="23">
        <f t="shared" si="8"/>
        <v>42</v>
      </c>
      <c r="N58" s="23">
        <f t="shared" si="9"/>
        <v>48</v>
      </c>
      <c r="O58" s="23">
        <f t="shared" si="10"/>
        <v>20</v>
      </c>
      <c r="P58" s="23">
        <f t="shared" si="11"/>
        <v>47</v>
      </c>
      <c r="Q58" s="23">
        <f t="shared" si="12"/>
        <v>39.25</v>
      </c>
      <c r="R58" s="16" t="str">
        <f t="shared" si="13"/>
        <v>Weak/Avoid</v>
      </c>
    </row>
    <row r="59" spans="1:18" x14ac:dyDescent="0.3">
      <c r="A59" s="17" t="str">
        <f>'Raw Data'!B49</f>
        <v>Inox Green Energy Services Limited</v>
      </c>
      <c r="B59" s="18">
        <f t="shared" si="7"/>
        <v>0</v>
      </c>
      <c r="C59" s="5">
        <f>('Raw Data'!D49+'Raw Data'!E49-'Raw Data'!F49)/'Raw Data'!H49</f>
        <v>230.55054620492231</v>
      </c>
      <c r="D59" s="5">
        <f>'Raw Data'!C49/'Raw Data'!L49</f>
        <v>120.8131923755422</v>
      </c>
      <c r="E59" s="5">
        <f>'Raw Data'!C49/'Raw Data'!N49</f>
        <v>3.5646290700952328</v>
      </c>
      <c r="F59" s="12">
        <f>'Raw Data'!J49/'Raw Data'!M49</f>
        <v>-0.17007538597053073</v>
      </c>
      <c r="G59" s="11">
        <f>'Raw Data'!I49/('Raw Data'!M49+'Raw Data'!E49)</f>
        <v>6.4808026194633064E-2</v>
      </c>
      <c r="H59" s="5">
        <f>'Raw Data'!E49/'Raw Data'!M49</f>
        <v>-0.27165921845949281</v>
      </c>
      <c r="I59" s="5">
        <f>'Raw Data'!I49/'Raw Data'!Q49</f>
        <v>1.8358941090621912</v>
      </c>
      <c r="J59" s="11">
        <f>'Raw Data'!I49/'Raw Data'!O49</f>
        <v>-6.0902673207365358E-2</v>
      </c>
      <c r="K59" s="11">
        <f>IFERROR('Raw Data'!J49/'Raw Data'!O49, "")</f>
        <v>0.21943929447543511</v>
      </c>
      <c r="L59" s="11">
        <f>'Raw Data'!R49/'Raw Data'!C49</f>
        <v>8.2772417509798628E-3</v>
      </c>
      <c r="M59" s="23">
        <f t="shared" si="8"/>
        <v>52.333333333333336</v>
      </c>
      <c r="N59" s="23">
        <f t="shared" si="9"/>
        <v>38.25</v>
      </c>
      <c r="O59" s="23">
        <f t="shared" si="10"/>
        <v>11</v>
      </c>
      <c r="P59" s="23">
        <f t="shared" si="11"/>
        <v>45</v>
      </c>
      <c r="Q59" s="23">
        <f t="shared" si="12"/>
        <v>36.645833333333336</v>
      </c>
      <c r="R59" s="16" t="str">
        <f t="shared" si="13"/>
        <v>Weak/Avoid</v>
      </c>
    </row>
    <row r="60" spans="1:18" x14ac:dyDescent="0.3">
      <c r="A60" s="17" t="str">
        <f>'Raw Data'!B19</f>
        <v>Jyoti Structures Limited</v>
      </c>
      <c r="B60" s="18">
        <f t="shared" si="7"/>
        <v>1</v>
      </c>
      <c r="C60" s="5">
        <f>('Raw Data'!D19+'Raw Data'!E19-'Raw Data'!F19)/'Raw Data'!H19</f>
        <v>74.352676322400697</v>
      </c>
      <c r="D60" s="5">
        <f>'Raw Data'!C19/'Raw Data'!L19</f>
        <v>28.794467889506389</v>
      </c>
      <c r="E60" s="5">
        <f>'Raw Data'!C19/'Raw Data'!N19</f>
        <v>2.5129841851626455</v>
      </c>
      <c r="F60" s="12">
        <f>'Raw Data'!J19/'Raw Data'!M19</f>
        <v>-1.9357059767531284E-2</v>
      </c>
      <c r="G60" s="11">
        <f>'Raw Data'!I19/('Raw Data'!M19+'Raw Data'!E19)</f>
        <v>-8.6063946278054373E-2</v>
      </c>
      <c r="H60" s="5">
        <f>'Raw Data'!E19/'Raw Data'!M19</f>
        <v>-0.85487566398522852</v>
      </c>
      <c r="I60" s="5">
        <f>'Raw Data'!I19/'Raw Data'!Q19</f>
        <v>-220.07373240399073</v>
      </c>
      <c r="J60" s="11">
        <f>'Raw Data'!I19/'Raw Data'!O19</f>
        <v>4.6994081320261283E-2</v>
      </c>
      <c r="K60" s="11">
        <f>IFERROR('Raw Data'!J19/'Raw Data'!O19, "")</f>
        <v>7.2831801684611744E-2</v>
      </c>
      <c r="L60" s="11">
        <f>'Raw Data'!R19/'Raw Data'!C19</f>
        <v>3.4728893197030791E-2</v>
      </c>
      <c r="M60" s="23">
        <f t="shared" si="8"/>
        <v>43.666666666666664</v>
      </c>
      <c r="N60" s="23">
        <f t="shared" si="9"/>
        <v>44.75</v>
      </c>
      <c r="O60" s="23">
        <f t="shared" si="10"/>
        <v>31.5</v>
      </c>
      <c r="P60" s="23">
        <f t="shared" si="11"/>
        <v>32</v>
      </c>
      <c r="Q60" s="23">
        <f t="shared" si="12"/>
        <v>37.979166666666664</v>
      </c>
      <c r="R60" s="16" t="str">
        <f t="shared" si="13"/>
        <v>Weak/Avoid</v>
      </c>
    </row>
    <row r="61" spans="1:18" x14ac:dyDescent="0.3">
      <c r="A61" s="17" t="str">
        <f>'Raw Data'!B53</f>
        <v>NTPC Green Energy Limited</v>
      </c>
      <c r="B61" s="18">
        <f t="shared" si="7"/>
        <v>1</v>
      </c>
      <c r="C61" s="5">
        <f>('Raw Data'!D53+'Raw Data'!E53-'Raw Data'!F53)/'Raw Data'!H53</f>
        <v>46.826773002847943</v>
      </c>
      <c r="D61" s="5">
        <f>'Raw Data'!C53/'Raw Data'!L53</f>
        <v>131.74038045529437</v>
      </c>
      <c r="E61" s="5">
        <f>'Raw Data'!C53/'Raw Data'!N53</f>
        <v>3.9110188294326003</v>
      </c>
      <c r="F61" s="12">
        <f>'Raw Data'!J53/'Raw Data'!M53</f>
        <v>5.5465435377769073E-2</v>
      </c>
      <c r="G61" s="11">
        <f>'Raw Data'!I53/('Raw Data'!M53+'Raw Data'!E53)</f>
        <v>4.0729300951055883E-2</v>
      </c>
      <c r="H61" s="5">
        <f>'Raw Data'!E53/'Raw Data'!M53</f>
        <v>1.934695295334623</v>
      </c>
      <c r="I61" s="5">
        <f>'Raw Data'!I53/'Raw Data'!Q53</f>
        <v>-1.5451339957891328</v>
      </c>
      <c r="J61" s="11">
        <f>'Raw Data'!I53/'Raw Data'!O53</f>
        <v>0.51963744819566571</v>
      </c>
      <c r="K61" s="11">
        <f>IFERROR('Raw Data'!J53/'Raw Data'!O53, "")</f>
        <v>0.24113091586387508</v>
      </c>
      <c r="L61" s="11">
        <f>'Raw Data'!R53/'Raw Data'!C53</f>
        <v>7.5906870508799422E-3</v>
      </c>
      <c r="M61" s="23">
        <f t="shared" si="8"/>
        <v>52</v>
      </c>
      <c r="N61" s="23">
        <f t="shared" si="9"/>
        <v>23</v>
      </c>
      <c r="O61" s="23">
        <f t="shared" si="10"/>
        <v>36</v>
      </c>
      <c r="P61" s="23">
        <f t="shared" si="11"/>
        <v>46</v>
      </c>
      <c r="Q61" s="23">
        <f t="shared" si="12"/>
        <v>39.25</v>
      </c>
      <c r="R61" s="16" t="str">
        <f t="shared" si="13"/>
        <v>Weak/Avoid</v>
      </c>
    </row>
    <row r="62" spans="1:18" x14ac:dyDescent="0.3">
      <c r="A62" s="17" t="str">
        <f>'Raw Data'!B48</f>
        <v>Ravindra Energy Limited</v>
      </c>
      <c r="B62" s="18">
        <f t="shared" si="7"/>
        <v>1</v>
      </c>
      <c r="C62" s="5">
        <f>('Raw Data'!D48+'Raw Data'!E48-'Raw Data'!F48)/'Raw Data'!H48</f>
        <v>80.933961940035587</v>
      </c>
      <c r="D62" s="5">
        <f>'Raw Data'!C48/'Raw Data'!L48</f>
        <v>-42.952804930563801</v>
      </c>
      <c r="E62" s="5">
        <f>'Raw Data'!C48/'Raw Data'!N48</f>
        <v>15.725191147602029</v>
      </c>
      <c r="F62" s="12">
        <f>'Raw Data'!J48/'Raw Data'!M48</f>
        <v>0.19751422486710721</v>
      </c>
      <c r="G62" s="11">
        <f>'Raw Data'!I48/('Raw Data'!M48+'Raw Data'!E48)</f>
        <v>-0.12205839516968049</v>
      </c>
      <c r="H62" s="5">
        <f>'Raw Data'!E48/'Raw Data'!M48</f>
        <v>-0.36631684585117413</v>
      </c>
      <c r="I62" s="5">
        <f>'Raw Data'!I48/'Raw Data'!Q48</f>
        <v>-620.77668737684201</v>
      </c>
      <c r="J62" s="11">
        <f>'Raw Data'!I48/'Raw Data'!O48</f>
        <v>0.25937920694884281</v>
      </c>
      <c r="K62" s="11">
        <f>IFERROR('Raw Data'!J48/'Raw Data'!O48, "")</f>
        <v>-0.66235942322437924</v>
      </c>
      <c r="L62" s="11">
        <f>'Raw Data'!R48/'Raw Data'!C48</f>
        <v>-2.3281366644543229E-2</v>
      </c>
      <c r="M62" s="23">
        <f t="shared" si="8"/>
        <v>38.333333333333336</v>
      </c>
      <c r="N62" s="23">
        <f t="shared" si="9"/>
        <v>35.75</v>
      </c>
      <c r="O62" s="23">
        <f t="shared" si="10"/>
        <v>35</v>
      </c>
      <c r="P62" s="23">
        <f t="shared" si="11"/>
        <v>52</v>
      </c>
      <c r="Q62" s="23">
        <f t="shared" si="12"/>
        <v>40.270833333333336</v>
      </c>
      <c r="R62" s="16" t="str">
        <f t="shared" si="13"/>
        <v>Weak/Avoid</v>
      </c>
    </row>
    <row r="63" spans="1:18" x14ac:dyDescent="0.3">
      <c r="A63" s="17" t="str">
        <f>'Raw Data'!B11</f>
        <v>Skyline Ventures India Limited</v>
      </c>
      <c r="B63" s="18">
        <f t="shared" si="7"/>
        <v>0</v>
      </c>
      <c r="C63" s="5">
        <f>('Raw Data'!D11+'Raw Data'!E11-'Raw Data'!F11)/'Raw Data'!H11</f>
        <v>-25.314773710401447</v>
      </c>
      <c r="D63" s="5">
        <f>'Raw Data'!C11/'Raw Data'!L11</f>
        <v>-22.120368325759319</v>
      </c>
      <c r="E63" s="5">
        <f>'Raw Data'!C11/'Raw Data'!N11</f>
        <v>3.7686781911125604</v>
      </c>
      <c r="F63" s="12">
        <f>'Raw Data'!J11/'Raw Data'!M11</f>
        <v>-25.178525641025644</v>
      </c>
      <c r="G63" s="11">
        <f>'Raw Data'!I11/('Raw Data'!M11+'Raw Data'!E11)</f>
        <v>-0.58696804737262631</v>
      </c>
      <c r="H63" s="5">
        <f>'Raw Data'!E11/'Raw Data'!M11</f>
        <v>41.922115384615395</v>
      </c>
      <c r="I63" s="5">
        <f>'Raw Data'!I11/'Raw Data'!Q11</f>
        <v>6550.4166666666661</v>
      </c>
      <c r="J63" s="11">
        <f>'Raw Data'!I11/'Raw Data'!O11</f>
        <v>-706.65266159999987</v>
      </c>
      <c r="K63" s="11">
        <f>IFERROR('Raw Data'!J11/'Raw Data'!O11, "")</f>
        <v>-706.22114543999987</v>
      </c>
      <c r="L63" s="11">
        <f>'Raw Data'!R11/'Raw Data'!C11</f>
        <v>-4.5207203843685241E-2</v>
      </c>
      <c r="M63" s="23">
        <f t="shared" si="8"/>
        <v>19.333333333333332</v>
      </c>
      <c r="N63" s="23">
        <f t="shared" si="9"/>
        <v>59</v>
      </c>
      <c r="O63" s="23">
        <f t="shared" si="10"/>
        <v>30</v>
      </c>
      <c r="P63" s="23">
        <f t="shared" si="11"/>
        <v>54</v>
      </c>
      <c r="Q63" s="23">
        <f t="shared" si="12"/>
        <v>40.583333333333329</v>
      </c>
      <c r="R63" s="16" t="str">
        <f t="shared" si="13"/>
        <v>Weak/Avoid</v>
      </c>
    </row>
    <row r="64" spans="1:18" x14ac:dyDescent="0.3">
      <c r="A64" s="17" t="str">
        <f>'Raw Data'!B39</f>
        <v>Tata Power Company Limited</v>
      </c>
      <c r="B64" s="18">
        <f t="shared" si="7"/>
        <v>1</v>
      </c>
      <c r="C64" s="5">
        <f>('Raw Data'!D39+'Raw Data'!E39-'Raw Data'!F39)/'Raw Data'!H39</f>
        <v>12.223122560657535</v>
      </c>
      <c r="D64" s="5">
        <f>'Raw Data'!C39/'Raw Data'!L39</f>
        <v>28.590228738122271</v>
      </c>
      <c r="E64" s="5">
        <f>'Raw Data'!C39/'Raw Data'!N39</f>
        <v>3.2194433358424415</v>
      </c>
      <c r="F64" s="12">
        <f>'Raw Data'!J39/'Raw Data'!M39</f>
        <v>0.1429955377220968</v>
      </c>
      <c r="G64" s="11">
        <f>'Raw Data'!I39/('Raw Data'!M39+'Raw Data'!E39)</f>
        <v>0.11259837724606205</v>
      </c>
      <c r="H64" s="5">
        <f>'Raw Data'!E39/'Raw Data'!M39</f>
        <v>2.2308047057057987</v>
      </c>
      <c r="I64" s="5">
        <f>'Raw Data'!I39/'Raw Data'!Q39</f>
        <v>-2.3129905682226086</v>
      </c>
      <c r="J64" s="11">
        <f>'Raw Data'!I39/'Raw Data'!O39</f>
        <v>0.15597460509726735</v>
      </c>
      <c r="K64" s="11">
        <f>IFERROR('Raw Data'!J39/'Raw Data'!O39, "")</f>
        <v>6.131031417692645E-2</v>
      </c>
      <c r="L64" s="11">
        <f>'Raw Data'!R39/'Raw Data'!C39</f>
        <v>3.497698493984408E-2</v>
      </c>
      <c r="M64" s="23">
        <f t="shared" si="8"/>
        <v>39.333333333333336</v>
      </c>
      <c r="N64" s="23">
        <f t="shared" si="9"/>
        <v>31.75</v>
      </c>
      <c r="O64" s="23">
        <f t="shared" si="10"/>
        <v>39.5</v>
      </c>
      <c r="P64" s="23">
        <f t="shared" si="11"/>
        <v>31</v>
      </c>
      <c r="Q64" s="23">
        <f t="shared" si="12"/>
        <v>35.395833333333336</v>
      </c>
      <c r="R64" s="16" t="str">
        <f t="shared" si="13"/>
        <v>Weak/Avoid</v>
      </c>
    </row>
    <row r="67" spans="3:15" x14ac:dyDescent="0.3">
      <c r="C67" s="10"/>
      <c r="D67" s="10"/>
      <c r="E67" s="10"/>
      <c r="F67" s="10"/>
      <c r="G67" s="10"/>
      <c r="H67" s="10"/>
      <c r="I67" s="10"/>
      <c r="J67" s="10"/>
      <c r="K67" s="10"/>
      <c r="L67" s="10"/>
    </row>
    <row r="68" spans="3:15" x14ac:dyDescent="0.3">
      <c r="C68" s="14" t="s">
        <v>579</v>
      </c>
      <c r="D68" s="14" t="s">
        <v>580</v>
      </c>
      <c r="E68" s="14" t="s">
        <v>583</v>
      </c>
      <c r="F68" s="14" t="s">
        <v>581</v>
      </c>
      <c r="G68" s="14" t="s">
        <v>584</v>
      </c>
      <c r="H68" s="14" t="s">
        <v>582</v>
      </c>
      <c r="I68" s="14" t="s">
        <v>585</v>
      </c>
      <c r="J68" s="14" t="s">
        <v>586</v>
      </c>
      <c r="K68" s="14" t="s">
        <v>587</v>
      </c>
      <c r="L68" s="14" t="s">
        <v>588</v>
      </c>
      <c r="N68"/>
      <c r="O68"/>
    </row>
    <row r="69" spans="3:15" x14ac:dyDescent="0.3">
      <c r="C69" t="s">
        <v>461</v>
      </c>
      <c r="D69" s="13" t="s">
        <v>461</v>
      </c>
      <c r="E69" s="5" t="s">
        <v>427</v>
      </c>
      <c r="F69" t="s">
        <v>458</v>
      </c>
      <c r="G69" t="s">
        <v>458</v>
      </c>
      <c r="H69" t="s">
        <v>461</v>
      </c>
      <c r="I69" t="s">
        <v>430</v>
      </c>
      <c r="K69" t="s">
        <v>458</v>
      </c>
      <c r="L69" t="s">
        <v>458</v>
      </c>
      <c r="N69"/>
      <c r="O69"/>
    </row>
    <row r="70" spans="3:15" x14ac:dyDescent="0.3">
      <c r="C70" t="s">
        <v>475</v>
      </c>
      <c r="D70" s="5" t="s">
        <v>475</v>
      </c>
      <c r="E70" s="5" t="s">
        <v>451</v>
      </c>
      <c r="F70" t="s">
        <v>460</v>
      </c>
      <c r="G70" t="s">
        <v>461</v>
      </c>
      <c r="H70" t="s">
        <v>484</v>
      </c>
      <c r="K70" t="s">
        <v>460</v>
      </c>
      <c r="L70" t="s">
        <v>460</v>
      </c>
      <c r="N70"/>
      <c r="O70"/>
    </row>
    <row r="71" spans="3:15" x14ac:dyDescent="0.3">
      <c r="C71" t="s">
        <v>451</v>
      </c>
      <c r="D71" s="5" t="s">
        <v>451</v>
      </c>
      <c r="E71" s="5" t="s">
        <v>485</v>
      </c>
      <c r="F71" t="s">
        <v>461</v>
      </c>
      <c r="G71" t="s">
        <v>484</v>
      </c>
      <c r="H71" t="s">
        <v>427</v>
      </c>
      <c r="K71" t="s">
        <v>461</v>
      </c>
      <c r="L71" t="s">
        <v>484</v>
      </c>
      <c r="N71"/>
      <c r="O71"/>
    </row>
    <row r="72" spans="3:15" x14ac:dyDescent="0.3">
      <c r="C72" t="s">
        <v>434</v>
      </c>
      <c r="D72" s="5" t="s">
        <v>482</v>
      </c>
      <c r="E72" s="5"/>
      <c r="F72" t="s">
        <v>484</v>
      </c>
      <c r="G72" t="s">
        <v>475</v>
      </c>
      <c r="H72" t="s">
        <v>475</v>
      </c>
      <c r="K72" t="s">
        <v>484</v>
      </c>
      <c r="L72" t="s">
        <v>427</v>
      </c>
      <c r="N72"/>
      <c r="O72"/>
    </row>
    <row r="73" spans="3:15" x14ac:dyDescent="0.3">
      <c r="C73" t="s">
        <v>485</v>
      </c>
      <c r="D73" s="5" t="s">
        <v>442</v>
      </c>
      <c r="E73" s="5" t="s">
        <v>480</v>
      </c>
      <c r="F73" t="s">
        <v>475</v>
      </c>
      <c r="G73" t="s">
        <v>434</v>
      </c>
      <c r="H73" t="s">
        <v>451</v>
      </c>
      <c r="K73" t="s">
        <v>475</v>
      </c>
      <c r="L73" t="s">
        <v>435</v>
      </c>
      <c r="N73"/>
      <c r="O73"/>
    </row>
    <row r="74" spans="3:15" x14ac:dyDescent="0.3">
      <c r="C74" t="s">
        <v>482</v>
      </c>
      <c r="D74" s="5" t="s">
        <v>480</v>
      </c>
      <c r="E74" s="5"/>
      <c r="F74" t="s">
        <v>434</v>
      </c>
      <c r="G74" t="s">
        <v>485</v>
      </c>
      <c r="H74" t="s">
        <v>485</v>
      </c>
      <c r="K74" t="s">
        <v>485</v>
      </c>
      <c r="L74" t="s">
        <v>456</v>
      </c>
      <c r="N74"/>
      <c r="O74"/>
    </row>
    <row r="75" spans="3:15" x14ac:dyDescent="0.3">
      <c r="C75" t="s">
        <v>442</v>
      </c>
      <c r="D75" s="5" t="s">
        <v>481</v>
      </c>
      <c r="E75" s="5" t="s">
        <v>481</v>
      </c>
      <c r="F75" t="s">
        <v>485</v>
      </c>
      <c r="G75" t="s">
        <v>482</v>
      </c>
      <c r="K75" t="s">
        <v>442</v>
      </c>
      <c r="L75" t="s">
        <v>443</v>
      </c>
      <c r="N75"/>
      <c r="O75"/>
    </row>
    <row r="76" spans="3:15" x14ac:dyDescent="0.3">
      <c r="C76" t="s">
        <v>435</v>
      </c>
      <c r="D76" s="5" t="s">
        <v>448</v>
      </c>
      <c r="E76" s="5" t="s">
        <v>448</v>
      </c>
      <c r="F76" t="s">
        <v>481</v>
      </c>
      <c r="G76" t="s">
        <v>480</v>
      </c>
      <c r="H76" t="s">
        <v>482</v>
      </c>
      <c r="K76" t="s">
        <v>481</v>
      </c>
      <c r="L76" t="s">
        <v>457</v>
      </c>
      <c r="N76"/>
      <c r="O76"/>
    </row>
    <row r="77" spans="3:15" x14ac:dyDescent="0.3">
      <c r="C77" t="s">
        <v>481</v>
      </c>
      <c r="D77" s="5" t="s">
        <v>467</v>
      </c>
      <c r="E77" s="5" t="s">
        <v>456</v>
      </c>
      <c r="F77" t="s">
        <v>456</v>
      </c>
      <c r="G77" t="s">
        <v>435</v>
      </c>
      <c r="H77" t="s">
        <v>442</v>
      </c>
      <c r="K77" t="s">
        <v>448</v>
      </c>
      <c r="L77" t="s">
        <v>432</v>
      </c>
      <c r="N77"/>
      <c r="O77"/>
    </row>
    <row r="78" spans="3:15" x14ac:dyDescent="0.3">
      <c r="C78" t="s">
        <v>448</v>
      </c>
      <c r="D78" s="5" t="s">
        <v>470</v>
      </c>
      <c r="E78" s="5" t="s">
        <v>439</v>
      </c>
      <c r="F78" t="s">
        <v>467</v>
      </c>
      <c r="G78" t="s">
        <v>481</v>
      </c>
      <c r="H78" t="s">
        <v>480</v>
      </c>
      <c r="K78" t="s">
        <v>456</v>
      </c>
      <c r="L78" t="s">
        <v>471</v>
      </c>
      <c r="N78"/>
      <c r="O78"/>
    </row>
    <row r="79" spans="3:15" x14ac:dyDescent="0.3">
      <c r="C79" t="s">
        <v>467</v>
      </c>
      <c r="D79" s="5" t="s">
        <v>479</v>
      </c>
      <c r="E79" s="5" t="s">
        <v>428</v>
      </c>
      <c r="F79" t="s">
        <v>428</v>
      </c>
      <c r="G79" t="s">
        <v>448</v>
      </c>
      <c r="H79" t="s">
        <v>481</v>
      </c>
      <c r="K79" t="s">
        <v>467</v>
      </c>
      <c r="N79"/>
      <c r="O79"/>
    </row>
    <row r="80" spans="3:15" x14ac:dyDescent="0.3">
      <c r="C80" t="s">
        <v>470</v>
      </c>
      <c r="D80" s="5" t="s">
        <v>450</v>
      </c>
      <c r="E80" s="5" t="s">
        <v>470</v>
      </c>
      <c r="F80" t="s">
        <v>470</v>
      </c>
      <c r="G80" t="s">
        <v>467</v>
      </c>
      <c r="H80" t="s">
        <v>467</v>
      </c>
      <c r="K80" t="s">
        <v>470</v>
      </c>
      <c r="N80"/>
      <c r="O80"/>
    </row>
    <row r="81" spans="3:15" x14ac:dyDescent="0.3">
      <c r="C81" t="s">
        <v>450</v>
      </c>
      <c r="D81" s="5" t="s">
        <v>455</v>
      </c>
      <c r="E81" s="5" t="s">
        <v>437</v>
      </c>
      <c r="F81" t="s">
        <v>437</v>
      </c>
      <c r="G81" t="s">
        <v>428</v>
      </c>
      <c r="H81" t="s">
        <v>428</v>
      </c>
      <c r="K81" t="s">
        <v>479</v>
      </c>
      <c r="N81"/>
      <c r="O81"/>
    </row>
    <row r="82" spans="3:15" x14ac:dyDescent="0.3">
      <c r="C82" t="s">
        <v>453</v>
      </c>
      <c r="D82" s="5" t="s">
        <v>453</v>
      </c>
      <c r="E82" s="5" t="s">
        <v>479</v>
      </c>
      <c r="F82" t="s">
        <v>479</v>
      </c>
      <c r="G82" t="s">
        <v>470</v>
      </c>
      <c r="H82" t="s">
        <v>437</v>
      </c>
      <c r="K82" t="s">
        <v>450</v>
      </c>
      <c r="N82"/>
      <c r="O82"/>
    </row>
    <row r="83" spans="3:15" x14ac:dyDescent="0.3">
      <c r="C83" t="s">
        <v>462</v>
      </c>
      <c r="D83" s="5" t="s">
        <v>462</v>
      </c>
      <c r="E83" s="5" t="s">
        <v>450</v>
      </c>
      <c r="F83" t="s">
        <v>453</v>
      </c>
      <c r="G83" t="s">
        <v>437</v>
      </c>
      <c r="H83" t="s">
        <v>479</v>
      </c>
      <c r="K83" t="s">
        <v>455</v>
      </c>
      <c r="N83"/>
      <c r="O83"/>
    </row>
    <row r="84" spans="3:15" x14ac:dyDescent="0.3">
      <c r="C84" t="s">
        <v>441</v>
      </c>
      <c r="D84" s="5" t="s">
        <v>441</v>
      </c>
      <c r="E84" s="5" t="s">
        <v>455</v>
      </c>
      <c r="F84" t="s">
        <v>444</v>
      </c>
      <c r="G84" t="s">
        <v>479</v>
      </c>
      <c r="H84" t="s">
        <v>450</v>
      </c>
      <c r="K84" t="s">
        <v>453</v>
      </c>
      <c r="N84"/>
      <c r="O84"/>
    </row>
    <row r="85" spans="3:15" x14ac:dyDescent="0.3">
      <c r="C85" t="s">
        <v>444</v>
      </c>
      <c r="D85" s="5" t="s">
        <v>444</v>
      </c>
      <c r="E85" s="5" t="s">
        <v>453</v>
      </c>
      <c r="F85" t="s">
        <v>483</v>
      </c>
      <c r="G85" t="s">
        <v>450</v>
      </c>
      <c r="H85" t="s">
        <v>453</v>
      </c>
      <c r="K85" t="s">
        <v>473</v>
      </c>
      <c r="N85"/>
      <c r="O85"/>
    </row>
    <row r="86" spans="3:15" x14ac:dyDescent="0.3">
      <c r="C86" t="s">
        <v>474</v>
      </c>
      <c r="D86" s="5" t="s">
        <v>483</v>
      </c>
      <c r="E86" s="5" t="s">
        <v>462</v>
      </c>
      <c r="F86" t="s">
        <v>478</v>
      </c>
      <c r="G86" t="s">
        <v>444</v>
      </c>
      <c r="H86" t="s">
        <v>462</v>
      </c>
      <c r="K86" t="s">
        <v>462</v>
      </c>
      <c r="N86"/>
      <c r="O86"/>
    </row>
    <row r="87" spans="3:15" x14ac:dyDescent="0.3">
      <c r="C87" t="s">
        <v>446</v>
      </c>
      <c r="D87" s="5" t="s">
        <v>474</v>
      </c>
      <c r="E87" s="5" t="s">
        <v>441</v>
      </c>
      <c r="F87" t="s">
        <v>474</v>
      </c>
      <c r="G87" t="s">
        <v>483</v>
      </c>
      <c r="H87" t="s">
        <v>483</v>
      </c>
      <c r="K87" t="s">
        <v>441</v>
      </c>
      <c r="N87"/>
      <c r="O87"/>
    </row>
    <row r="88" spans="3:15" x14ac:dyDescent="0.3">
      <c r="C88" t="s">
        <v>477</v>
      </c>
      <c r="D88" s="5" t="s">
        <v>477</v>
      </c>
      <c r="E88" s="5" t="s">
        <v>483</v>
      </c>
      <c r="F88" t="s">
        <v>445</v>
      </c>
      <c r="G88" t="s">
        <v>478</v>
      </c>
      <c r="H88" t="s">
        <v>444</v>
      </c>
      <c r="K88" t="s">
        <v>444</v>
      </c>
      <c r="N88"/>
      <c r="O88"/>
    </row>
    <row r="89" spans="3:15" x14ac:dyDescent="0.3">
      <c r="C89" t="s">
        <v>465</v>
      </c>
      <c r="D89" s="5" t="s">
        <v>465</v>
      </c>
      <c r="E89" s="5" t="s">
        <v>444</v>
      </c>
      <c r="F89" t="s">
        <v>468</v>
      </c>
      <c r="G89" t="s">
        <v>445</v>
      </c>
      <c r="H89" t="s">
        <v>478</v>
      </c>
      <c r="K89" t="s">
        <v>446</v>
      </c>
      <c r="N89"/>
      <c r="O89"/>
    </row>
    <row r="90" spans="3:15" x14ac:dyDescent="0.3">
      <c r="C90" t="s">
        <v>454</v>
      </c>
      <c r="D90" s="5" t="s">
        <v>454</v>
      </c>
      <c r="E90" s="5" t="s">
        <v>478</v>
      </c>
      <c r="F90" t="s">
        <v>477</v>
      </c>
      <c r="G90" t="s">
        <v>447</v>
      </c>
      <c r="H90" t="s">
        <v>445</v>
      </c>
      <c r="K90" t="s">
        <v>474</v>
      </c>
      <c r="N90"/>
      <c r="O90"/>
    </row>
    <row r="91" spans="3:15" x14ac:dyDescent="0.3">
      <c r="C91" t="s">
        <v>459</v>
      </c>
      <c r="D91" s="5"/>
      <c r="E91" s="5" t="s">
        <v>474</v>
      </c>
      <c r="F91" t="s">
        <v>472</v>
      </c>
      <c r="G91" t="s">
        <v>446</v>
      </c>
      <c r="H91" t="s">
        <v>457</v>
      </c>
      <c r="K91" t="s">
        <v>447</v>
      </c>
      <c r="N91"/>
      <c r="O91"/>
    </row>
    <row r="92" spans="3:15" x14ac:dyDescent="0.3">
      <c r="E92" s="5" t="s">
        <v>446</v>
      </c>
      <c r="F92" t="s">
        <v>443</v>
      </c>
      <c r="G92" t="s">
        <v>477</v>
      </c>
      <c r="H92" t="s">
        <v>465</v>
      </c>
      <c r="K92" t="s">
        <v>457</v>
      </c>
      <c r="N92"/>
      <c r="O92"/>
    </row>
    <row r="93" spans="3:15" x14ac:dyDescent="0.3">
      <c r="E93" s="5" t="s">
        <v>472</v>
      </c>
      <c r="F93" t="s">
        <v>457</v>
      </c>
      <c r="G93" t="s">
        <v>443</v>
      </c>
      <c r="H93" t="s">
        <v>454</v>
      </c>
      <c r="K93" t="s">
        <v>452</v>
      </c>
      <c r="N93"/>
      <c r="O93"/>
    </row>
    <row r="94" spans="3:15" x14ac:dyDescent="0.3">
      <c r="E94" s="5" t="s">
        <v>477</v>
      </c>
      <c r="F94" t="s">
        <v>465</v>
      </c>
      <c r="G94" t="s">
        <v>457</v>
      </c>
      <c r="H94" t="s">
        <v>432</v>
      </c>
      <c r="K94" t="s">
        <v>465</v>
      </c>
      <c r="N94"/>
      <c r="O94"/>
    </row>
    <row r="95" spans="3:15" x14ac:dyDescent="0.3">
      <c r="E95" s="5" t="s">
        <v>443</v>
      </c>
      <c r="F95" t="s">
        <v>454</v>
      </c>
      <c r="G95" t="s">
        <v>465</v>
      </c>
      <c r="H95" t="s">
        <v>471</v>
      </c>
      <c r="K95" t="s">
        <v>454</v>
      </c>
      <c r="N95"/>
      <c r="O95"/>
    </row>
    <row r="96" spans="3:15" x14ac:dyDescent="0.3">
      <c r="E96" s="5" t="s">
        <v>452</v>
      </c>
      <c r="F96" t="s">
        <v>471</v>
      </c>
      <c r="G96" t="s">
        <v>454</v>
      </c>
      <c r="K96" t="s">
        <v>466</v>
      </c>
      <c r="N96"/>
      <c r="O96"/>
    </row>
    <row r="97" spans="5:15" x14ac:dyDescent="0.3">
      <c r="E97" s="5" t="s">
        <v>465</v>
      </c>
      <c r="G97" t="s">
        <v>471</v>
      </c>
      <c r="K97" t="s">
        <v>432</v>
      </c>
      <c r="N97"/>
      <c r="O97"/>
    </row>
    <row r="98" spans="5:15" x14ac:dyDescent="0.3">
      <c r="K98" t="s">
        <v>471</v>
      </c>
      <c r="N98"/>
      <c r="O98"/>
    </row>
    <row r="99" spans="5:15" x14ac:dyDescent="0.3">
      <c r="N99"/>
      <c r="O99"/>
    </row>
    <row r="100" spans="5:15" x14ac:dyDescent="0.3">
      <c r="N100"/>
      <c r="O100"/>
    </row>
    <row r="101" spans="5:15" x14ac:dyDescent="0.3">
      <c r="N101"/>
      <c r="O101"/>
    </row>
    <row r="102" spans="5:15" x14ac:dyDescent="0.3">
      <c r="N102"/>
      <c r="O102"/>
    </row>
    <row r="103" spans="5:15" x14ac:dyDescent="0.3">
      <c r="N103"/>
      <c r="O103"/>
    </row>
    <row r="104" spans="5:15" x14ac:dyDescent="0.3">
      <c r="N104"/>
      <c r="O104"/>
    </row>
    <row r="105" spans="5:15" x14ac:dyDescent="0.3">
      <c r="N105"/>
      <c r="O105"/>
    </row>
    <row r="106" spans="5:15" x14ac:dyDescent="0.3">
      <c r="N106"/>
      <c r="O106"/>
    </row>
    <row r="107" spans="5:15" x14ac:dyDescent="0.3">
      <c r="N107"/>
      <c r="O107"/>
    </row>
    <row r="108" spans="5:15" x14ac:dyDescent="0.3">
      <c r="N108"/>
      <c r="O108"/>
    </row>
    <row r="109" spans="5:15" x14ac:dyDescent="0.3">
      <c r="N109"/>
      <c r="O109"/>
    </row>
    <row r="110" spans="5:15" x14ac:dyDescent="0.3">
      <c r="N110"/>
      <c r="O110"/>
    </row>
    <row r="111" spans="5:15" x14ac:dyDescent="0.3">
      <c r="N111"/>
      <c r="O111"/>
    </row>
    <row r="112" spans="5:15" x14ac:dyDescent="0.3">
      <c r="N112"/>
      <c r="O112"/>
    </row>
    <row r="113" spans="14:15" x14ac:dyDescent="0.3">
      <c r="N113"/>
      <c r="O113"/>
    </row>
    <row r="114" spans="14:15" x14ac:dyDescent="0.3">
      <c r="N114"/>
      <c r="O114"/>
    </row>
    <row r="115" spans="14:15" x14ac:dyDescent="0.3">
      <c r="N115"/>
      <c r="O115"/>
    </row>
    <row r="116" spans="14:15" x14ac:dyDescent="0.3">
      <c r="N116"/>
      <c r="O116"/>
    </row>
    <row r="117" spans="14:15" x14ac:dyDescent="0.3">
      <c r="N117"/>
      <c r="O117"/>
    </row>
    <row r="118" spans="14:15" x14ac:dyDescent="0.3">
      <c r="N118"/>
      <c r="O118"/>
    </row>
    <row r="119" spans="14:15" x14ac:dyDescent="0.3">
      <c r="N119"/>
      <c r="O119"/>
    </row>
    <row r="120" spans="14:15" x14ac:dyDescent="0.3">
      <c r="N120"/>
      <c r="O120"/>
    </row>
    <row r="121" spans="14:15" x14ac:dyDescent="0.3">
      <c r="N121"/>
      <c r="O121"/>
    </row>
    <row r="122" spans="14:15" x14ac:dyDescent="0.3">
      <c r="N122"/>
      <c r="O122"/>
    </row>
    <row r="123" spans="14:15" x14ac:dyDescent="0.3">
      <c r="N123"/>
      <c r="O123"/>
    </row>
    <row r="124" spans="14:15" x14ac:dyDescent="0.3">
      <c r="N124"/>
      <c r="O124"/>
    </row>
    <row r="125" spans="14:15" x14ac:dyDescent="0.3">
      <c r="N125"/>
      <c r="O125"/>
    </row>
    <row r="126" spans="14:15" x14ac:dyDescent="0.3">
      <c r="N126"/>
      <c r="O126"/>
    </row>
    <row r="127" spans="14:15" x14ac:dyDescent="0.3">
      <c r="N127"/>
      <c r="O127"/>
    </row>
  </sheetData>
  <autoFilter ref="A5:R64" xr:uid="{E0DE3BB4-E340-4283-BEFF-77B3AB5CA0EA}">
    <sortState xmlns:xlrd2="http://schemas.microsoft.com/office/spreadsheetml/2017/richdata2" ref="A6:R64">
      <sortCondition sortBy="cellColor" ref="A5:A64" dxfId="27"/>
    </sortState>
  </autoFilter>
  <sortState xmlns:xlrd2="http://schemas.microsoft.com/office/spreadsheetml/2017/richdata2" ref="L68:L100">
    <sortCondition ref="L68:L100"/>
  </sortState>
  <conditionalFormatting sqref="C5:C67 F67 I67 L67 C128:C1048576">
    <cfRule type="cellIs" dxfId="11" priority="35" operator="between">
      <formula>8</formula>
      <formula>15</formula>
    </cfRule>
    <cfRule type="cellIs" dxfId="10" priority="36" operator="lessThan">
      <formula>0</formula>
    </cfRule>
  </conditionalFormatting>
  <conditionalFormatting sqref="D5:D67 G67 J67 D128:D1048576">
    <cfRule type="cellIs" dxfId="9" priority="34" operator="between">
      <formula>10</formula>
      <formula>25</formula>
    </cfRule>
  </conditionalFormatting>
  <conditionalFormatting sqref="E5:E67 H67 K67 E128:E1048576">
    <cfRule type="cellIs" dxfId="8" priority="33" operator="between">
      <formula>1</formula>
      <formula>3</formula>
    </cfRule>
  </conditionalFormatting>
  <conditionalFormatting sqref="F5:F66 F128:F1048576">
    <cfRule type="cellIs" dxfId="7" priority="32" operator="greaterThan">
      <formula>0.15</formula>
    </cfRule>
  </conditionalFormatting>
  <conditionalFormatting sqref="G5:G66 G128:G1048576">
    <cfRule type="cellIs" dxfId="6" priority="31" operator="greaterThan">
      <formula>0.12</formula>
    </cfRule>
  </conditionalFormatting>
  <conditionalFormatting sqref="H5:H64">
    <cfRule type="cellIs" dxfId="5" priority="26" operator="between">
      <formula>0</formula>
      <formula>1.5</formula>
    </cfRule>
  </conditionalFormatting>
  <conditionalFormatting sqref="I5:I66 I128:I1048576">
    <cfRule type="cellIs" dxfId="4" priority="30" operator="greaterThan">
      <formula>3</formula>
    </cfRule>
  </conditionalFormatting>
  <conditionalFormatting sqref="J5:J66 J128:J1048576">
    <cfRule type="cellIs" dxfId="3" priority="29" operator="lessThan">
      <formula>0</formula>
    </cfRule>
  </conditionalFormatting>
  <conditionalFormatting sqref="K5:K66 K128:K1048576">
    <cfRule type="cellIs" dxfId="2" priority="28" operator="greaterThan">
      <formula>0.08</formula>
    </cfRule>
  </conditionalFormatting>
  <conditionalFormatting sqref="L5:L66 L128:L1048576">
    <cfRule type="cellIs" dxfId="1" priority="27" operator="between">
      <formula>0.01</formula>
      <formula>0.03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B72F-D93A-4BD2-88E7-6F9D6B984DBA}">
  <dimension ref="A1:N90"/>
  <sheetViews>
    <sheetView showGridLines="0" tabSelected="1" topLeftCell="A55" workbookViewId="0">
      <selection activeCell="G85" sqref="G85"/>
    </sheetView>
  </sheetViews>
  <sheetFormatPr defaultRowHeight="14.4" x14ac:dyDescent="0.3"/>
  <cols>
    <col min="1" max="1" width="27.44140625" customWidth="1"/>
    <col min="2" max="2" width="32" customWidth="1"/>
    <col min="3" max="3" width="25.6640625" bestFit="1" customWidth="1"/>
    <col min="4" max="4" width="27.109375" bestFit="1" customWidth="1"/>
    <col min="5" max="5" width="18.33203125" customWidth="1"/>
    <col min="6" max="6" width="19" customWidth="1"/>
  </cols>
  <sheetData>
    <row r="1" spans="1:2" x14ac:dyDescent="0.3">
      <c r="A1" s="51" t="s">
        <v>798</v>
      </c>
      <c r="B1" s="51" t="s">
        <v>825</v>
      </c>
    </row>
    <row r="2" spans="1:2" x14ac:dyDescent="0.3">
      <c r="A2" s="52" t="s">
        <v>799</v>
      </c>
      <c r="B2" s="52" t="s">
        <v>800</v>
      </c>
    </row>
    <row r="3" spans="1:2" x14ac:dyDescent="0.3">
      <c r="A3" s="52" t="s">
        <v>801</v>
      </c>
      <c r="B3" s="52" t="s">
        <v>802</v>
      </c>
    </row>
    <row r="4" spans="1:2" x14ac:dyDescent="0.3">
      <c r="A4" s="52" t="s">
        <v>803</v>
      </c>
      <c r="B4" s="52" t="s">
        <v>804</v>
      </c>
    </row>
    <row r="5" spans="1:2" x14ac:dyDescent="0.3">
      <c r="A5" s="52" t="s">
        <v>805</v>
      </c>
      <c r="B5" s="52" t="s">
        <v>806</v>
      </c>
    </row>
    <row r="6" spans="1:2" x14ac:dyDescent="0.3">
      <c r="A6" s="52" t="s">
        <v>807</v>
      </c>
      <c r="B6" s="52" t="s">
        <v>808</v>
      </c>
    </row>
    <row r="7" spans="1:2" x14ac:dyDescent="0.3">
      <c r="A7" s="52" t="s">
        <v>809</v>
      </c>
      <c r="B7" s="52" t="s">
        <v>810</v>
      </c>
    </row>
    <row r="8" spans="1:2" x14ac:dyDescent="0.3">
      <c r="A8" s="52" t="s">
        <v>811</v>
      </c>
      <c r="B8" s="52" t="s">
        <v>812</v>
      </c>
    </row>
    <row r="9" spans="1:2" x14ac:dyDescent="0.3">
      <c r="A9" s="52" t="s">
        <v>813</v>
      </c>
      <c r="B9" s="52" t="s">
        <v>814</v>
      </c>
    </row>
    <row r="10" spans="1:2" x14ac:dyDescent="0.3">
      <c r="A10" s="52" t="s">
        <v>815</v>
      </c>
      <c r="B10" s="52" t="s">
        <v>816</v>
      </c>
    </row>
    <row r="11" spans="1:2" x14ac:dyDescent="0.3">
      <c r="A11" s="52" t="s">
        <v>817</v>
      </c>
      <c r="B11" s="52" t="s">
        <v>818</v>
      </c>
    </row>
    <row r="12" spans="1:2" x14ac:dyDescent="0.3">
      <c r="A12" s="52" t="s">
        <v>819</v>
      </c>
      <c r="B12" s="52" t="s">
        <v>820</v>
      </c>
    </row>
    <row r="13" spans="1:2" x14ac:dyDescent="0.3">
      <c r="A13" s="52" t="s">
        <v>821</v>
      </c>
      <c r="B13" s="52" t="s">
        <v>822</v>
      </c>
    </row>
    <row r="14" spans="1:2" x14ac:dyDescent="0.3">
      <c r="A14" s="52" t="s">
        <v>823</v>
      </c>
      <c r="B14" s="52" t="s">
        <v>824</v>
      </c>
    </row>
    <row r="16" spans="1:2" x14ac:dyDescent="0.3">
      <c r="A16" t="s">
        <v>826</v>
      </c>
    </row>
    <row r="17" spans="1:14" x14ac:dyDescent="0.3">
      <c r="N17" s="53"/>
    </row>
    <row r="19" spans="1:14" x14ac:dyDescent="0.3">
      <c r="N19" s="53"/>
    </row>
    <row r="20" spans="1:14" x14ac:dyDescent="0.3">
      <c r="A20" s="53" t="s">
        <v>847</v>
      </c>
      <c r="N20" s="53"/>
    </row>
    <row r="21" spans="1:14" x14ac:dyDescent="0.3">
      <c r="N21" s="53"/>
    </row>
    <row r="22" spans="1:14" x14ac:dyDescent="0.3">
      <c r="A22" s="53" t="s">
        <v>735</v>
      </c>
      <c r="B22" s="53" t="s">
        <v>827</v>
      </c>
      <c r="C22" s="53" t="s">
        <v>828</v>
      </c>
      <c r="D22" s="53" t="s">
        <v>829</v>
      </c>
      <c r="E22" s="53" t="s">
        <v>830</v>
      </c>
      <c r="N22" s="53"/>
    </row>
    <row r="23" spans="1:14" x14ac:dyDescent="0.3">
      <c r="A23" t="s">
        <v>462</v>
      </c>
      <c r="B23" t="s">
        <v>619</v>
      </c>
      <c r="C23" t="s">
        <v>831</v>
      </c>
      <c r="D23" t="s">
        <v>603</v>
      </c>
      <c r="E23" t="s">
        <v>832</v>
      </c>
    </row>
    <row r="24" spans="1:14" x14ac:dyDescent="0.3">
      <c r="A24" t="s">
        <v>474</v>
      </c>
      <c r="B24" t="s">
        <v>833</v>
      </c>
      <c r="C24" t="s">
        <v>630</v>
      </c>
      <c r="D24" t="s">
        <v>603</v>
      </c>
      <c r="E24" t="s">
        <v>834</v>
      </c>
    </row>
    <row r="25" spans="1:14" x14ac:dyDescent="0.3">
      <c r="A25" t="s">
        <v>485</v>
      </c>
      <c r="B25" t="s">
        <v>607</v>
      </c>
      <c r="C25" t="s">
        <v>835</v>
      </c>
      <c r="D25" t="s">
        <v>638</v>
      </c>
      <c r="E25" t="s">
        <v>836</v>
      </c>
    </row>
    <row r="26" spans="1:14" x14ac:dyDescent="0.3">
      <c r="A26" t="s">
        <v>483</v>
      </c>
      <c r="B26" t="s">
        <v>646</v>
      </c>
      <c r="C26" t="s">
        <v>837</v>
      </c>
      <c r="D26" t="s">
        <v>638</v>
      </c>
      <c r="E26" t="s">
        <v>838</v>
      </c>
    </row>
    <row r="27" spans="1:14" x14ac:dyDescent="0.3">
      <c r="A27" t="s">
        <v>481</v>
      </c>
      <c r="B27" t="s">
        <v>607</v>
      </c>
      <c r="C27" t="s">
        <v>835</v>
      </c>
      <c r="D27" t="s">
        <v>603</v>
      </c>
      <c r="E27" t="s">
        <v>839</v>
      </c>
    </row>
    <row r="28" spans="1:14" x14ac:dyDescent="0.3">
      <c r="A28" t="s">
        <v>482</v>
      </c>
      <c r="B28" t="s">
        <v>607</v>
      </c>
      <c r="C28" t="s">
        <v>835</v>
      </c>
      <c r="D28" t="s">
        <v>638</v>
      </c>
      <c r="E28" t="s">
        <v>840</v>
      </c>
    </row>
    <row r="29" spans="1:14" x14ac:dyDescent="0.3">
      <c r="A29" t="s">
        <v>480</v>
      </c>
      <c r="B29" t="s">
        <v>607</v>
      </c>
      <c r="C29" t="s">
        <v>831</v>
      </c>
      <c r="D29" t="s">
        <v>603</v>
      </c>
      <c r="E29" t="s">
        <v>841</v>
      </c>
      <c r="N29" s="53"/>
    </row>
    <row r="30" spans="1:14" x14ac:dyDescent="0.3">
      <c r="A30" t="s">
        <v>455</v>
      </c>
      <c r="B30" t="s">
        <v>842</v>
      </c>
      <c r="C30" t="s">
        <v>831</v>
      </c>
      <c r="D30" t="s">
        <v>603</v>
      </c>
      <c r="E30" t="s">
        <v>843</v>
      </c>
    </row>
    <row r="31" spans="1:14" x14ac:dyDescent="0.3">
      <c r="A31" t="s">
        <v>452</v>
      </c>
      <c r="B31" t="s">
        <v>844</v>
      </c>
      <c r="C31" t="s">
        <v>831</v>
      </c>
      <c r="D31" t="s">
        <v>603</v>
      </c>
      <c r="E31" t="s">
        <v>845</v>
      </c>
    </row>
    <row r="32" spans="1:14" x14ac:dyDescent="0.3">
      <c r="A32" t="s">
        <v>451</v>
      </c>
      <c r="B32" t="s">
        <v>619</v>
      </c>
      <c r="C32" t="s">
        <v>835</v>
      </c>
      <c r="D32" t="s">
        <v>638</v>
      </c>
      <c r="E32" t="s">
        <v>846</v>
      </c>
    </row>
    <row r="35" spans="1:7" x14ac:dyDescent="0.3">
      <c r="A35" s="53" t="s">
        <v>848</v>
      </c>
    </row>
    <row r="37" spans="1:7" x14ac:dyDescent="0.3">
      <c r="A37" s="53" t="s">
        <v>735</v>
      </c>
      <c r="B37" s="53" t="s">
        <v>849</v>
      </c>
      <c r="C37" s="53" t="s">
        <v>850</v>
      </c>
      <c r="D37" s="53" t="s">
        <v>851</v>
      </c>
      <c r="E37" s="53" t="s">
        <v>852</v>
      </c>
      <c r="F37" s="53" t="s">
        <v>853</v>
      </c>
      <c r="G37" s="53"/>
    </row>
    <row r="38" spans="1:7" x14ac:dyDescent="0.3">
      <c r="A38" t="s">
        <v>462</v>
      </c>
      <c r="B38" t="s">
        <v>854</v>
      </c>
      <c r="C38" t="s">
        <v>855</v>
      </c>
      <c r="D38" t="s">
        <v>855</v>
      </c>
      <c r="E38" t="s">
        <v>856</v>
      </c>
      <c r="F38" t="s">
        <v>857</v>
      </c>
    </row>
    <row r="39" spans="1:7" x14ac:dyDescent="0.3">
      <c r="A39" t="s">
        <v>474</v>
      </c>
      <c r="B39" t="s">
        <v>858</v>
      </c>
      <c r="C39" t="s">
        <v>855</v>
      </c>
      <c r="D39" t="s">
        <v>630</v>
      </c>
      <c r="E39" t="s">
        <v>856</v>
      </c>
      <c r="F39" t="s">
        <v>859</v>
      </c>
    </row>
    <row r="40" spans="1:7" x14ac:dyDescent="0.3">
      <c r="A40" t="s">
        <v>485</v>
      </c>
      <c r="B40" t="s">
        <v>860</v>
      </c>
      <c r="C40" t="s">
        <v>855</v>
      </c>
      <c r="D40" t="s">
        <v>630</v>
      </c>
      <c r="E40" t="s">
        <v>856</v>
      </c>
      <c r="F40" t="s">
        <v>861</v>
      </c>
    </row>
    <row r="41" spans="1:7" x14ac:dyDescent="0.3">
      <c r="A41" t="s">
        <v>483</v>
      </c>
      <c r="B41" t="s">
        <v>862</v>
      </c>
      <c r="C41" t="s">
        <v>855</v>
      </c>
      <c r="D41" t="s">
        <v>855</v>
      </c>
      <c r="E41" t="s">
        <v>856</v>
      </c>
      <c r="F41" t="s">
        <v>863</v>
      </c>
    </row>
    <row r="42" spans="1:7" x14ac:dyDescent="0.3">
      <c r="A42" t="s">
        <v>481</v>
      </c>
      <c r="B42" t="s">
        <v>864</v>
      </c>
      <c r="C42" t="s">
        <v>865</v>
      </c>
      <c r="D42" t="s">
        <v>630</v>
      </c>
      <c r="E42" t="s">
        <v>856</v>
      </c>
      <c r="F42" t="s">
        <v>866</v>
      </c>
    </row>
    <row r="43" spans="1:7" x14ac:dyDescent="0.3">
      <c r="A43" t="s">
        <v>482</v>
      </c>
      <c r="B43" t="s">
        <v>864</v>
      </c>
      <c r="C43" t="s">
        <v>855</v>
      </c>
      <c r="D43" t="s">
        <v>630</v>
      </c>
      <c r="E43" t="s">
        <v>856</v>
      </c>
      <c r="F43" t="s">
        <v>867</v>
      </c>
    </row>
    <row r="44" spans="1:7" x14ac:dyDescent="0.3">
      <c r="A44" t="s">
        <v>480</v>
      </c>
      <c r="B44" t="s">
        <v>868</v>
      </c>
      <c r="C44" t="s">
        <v>855</v>
      </c>
      <c r="D44" t="s">
        <v>630</v>
      </c>
      <c r="E44" t="s">
        <v>856</v>
      </c>
      <c r="F44" t="s">
        <v>869</v>
      </c>
    </row>
    <row r="45" spans="1:7" x14ac:dyDescent="0.3">
      <c r="A45" t="s">
        <v>455</v>
      </c>
      <c r="B45" t="s">
        <v>870</v>
      </c>
      <c r="C45" t="s">
        <v>855</v>
      </c>
      <c r="D45" t="s">
        <v>855</v>
      </c>
      <c r="E45" t="s">
        <v>871</v>
      </c>
      <c r="F45" t="s">
        <v>872</v>
      </c>
    </row>
    <row r="46" spans="1:7" x14ac:dyDescent="0.3">
      <c r="A46" t="s">
        <v>452</v>
      </c>
      <c r="B46" t="s">
        <v>873</v>
      </c>
      <c r="C46" t="s">
        <v>855</v>
      </c>
      <c r="D46" t="s">
        <v>855</v>
      </c>
      <c r="E46" t="s">
        <v>871</v>
      </c>
      <c r="F46" t="s">
        <v>874</v>
      </c>
    </row>
    <row r="47" spans="1:7" x14ac:dyDescent="0.3">
      <c r="A47" t="s">
        <v>451</v>
      </c>
      <c r="B47" t="s">
        <v>875</v>
      </c>
      <c r="C47" t="s">
        <v>865</v>
      </c>
      <c r="D47" t="s">
        <v>855</v>
      </c>
      <c r="E47" t="s">
        <v>856</v>
      </c>
      <c r="F47" t="s">
        <v>876</v>
      </c>
    </row>
    <row r="50" spans="1:3" x14ac:dyDescent="0.3">
      <c r="A50" s="53" t="s">
        <v>877</v>
      </c>
    </row>
    <row r="52" spans="1:3" x14ac:dyDescent="0.3">
      <c r="A52" s="53" t="s">
        <v>798</v>
      </c>
      <c r="B52" s="53" t="s">
        <v>878</v>
      </c>
      <c r="C52" s="53" t="s">
        <v>879</v>
      </c>
    </row>
    <row r="53" spans="1:3" x14ac:dyDescent="0.3">
      <c r="A53" t="s">
        <v>880</v>
      </c>
      <c r="B53" t="s">
        <v>881</v>
      </c>
      <c r="C53" t="s">
        <v>882</v>
      </c>
    </row>
    <row r="54" spans="1:3" x14ac:dyDescent="0.3">
      <c r="A54" t="s">
        <v>883</v>
      </c>
      <c r="B54" t="s">
        <v>884</v>
      </c>
      <c r="C54" t="s">
        <v>885</v>
      </c>
    </row>
    <row r="55" spans="1:3" x14ac:dyDescent="0.3">
      <c r="A55" t="s">
        <v>886</v>
      </c>
      <c r="B55" t="s">
        <v>887</v>
      </c>
      <c r="C55" t="s">
        <v>888</v>
      </c>
    </row>
    <row r="56" spans="1:3" x14ac:dyDescent="0.3">
      <c r="A56" t="s">
        <v>889</v>
      </c>
      <c r="B56" t="s">
        <v>890</v>
      </c>
      <c r="C56" t="s">
        <v>891</v>
      </c>
    </row>
    <row r="57" spans="1:3" x14ac:dyDescent="0.3">
      <c r="A57" t="s">
        <v>892</v>
      </c>
      <c r="B57" t="s">
        <v>893</v>
      </c>
      <c r="C57" t="s">
        <v>894</v>
      </c>
    </row>
    <row r="58" spans="1:3" x14ac:dyDescent="0.3">
      <c r="A58" t="s">
        <v>895</v>
      </c>
      <c r="B58" t="s">
        <v>896</v>
      </c>
      <c r="C58" t="s">
        <v>897</v>
      </c>
    </row>
    <row r="59" spans="1:3" x14ac:dyDescent="0.3">
      <c r="A59" t="s">
        <v>898</v>
      </c>
      <c r="B59" t="s">
        <v>899</v>
      </c>
      <c r="C59" t="s">
        <v>900</v>
      </c>
    </row>
    <row r="60" spans="1:3" x14ac:dyDescent="0.3">
      <c r="A60" t="s">
        <v>901</v>
      </c>
      <c r="B60" t="s">
        <v>638</v>
      </c>
      <c r="C60" t="s">
        <v>902</v>
      </c>
    </row>
    <row r="63" spans="1:3" x14ac:dyDescent="0.3">
      <c r="A63" s="53" t="s">
        <v>903</v>
      </c>
    </row>
    <row r="65" spans="1:6" x14ac:dyDescent="0.3">
      <c r="A65" s="53" t="s">
        <v>735</v>
      </c>
      <c r="B65" s="53" t="s">
        <v>809</v>
      </c>
      <c r="C65" s="53" t="s">
        <v>904</v>
      </c>
      <c r="D65" s="53" t="s">
        <v>905</v>
      </c>
      <c r="E65" s="53" t="s">
        <v>906</v>
      </c>
      <c r="F65" s="53" t="s">
        <v>907</v>
      </c>
    </row>
    <row r="66" spans="1:6" x14ac:dyDescent="0.3">
      <c r="A66" t="s">
        <v>462</v>
      </c>
      <c r="B66" t="s">
        <v>603</v>
      </c>
      <c r="C66" t="s">
        <v>609</v>
      </c>
      <c r="D66" t="s">
        <v>638</v>
      </c>
      <c r="E66" t="s">
        <v>603</v>
      </c>
      <c r="F66" t="s">
        <v>603</v>
      </c>
    </row>
    <row r="67" spans="1:6" x14ac:dyDescent="0.3">
      <c r="A67" t="s">
        <v>474</v>
      </c>
      <c r="B67" t="s">
        <v>603</v>
      </c>
      <c r="C67" t="s">
        <v>609</v>
      </c>
      <c r="D67" t="s">
        <v>603</v>
      </c>
      <c r="E67" t="s">
        <v>603</v>
      </c>
      <c r="F67" t="s">
        <v>908</v>
      </c>
    </row>
    <row r="68" spans="1:6" x14ac:dyDescent="0.3">
      <c r="A68" t="s">
        <v>485</v>
      </c>
      <c r="B68" t="s">
        <v>638</v>
      </c>
      <c r="C68" t="s">
        <v>638</v>
      </c>
      <c r="D68" t="s">
        <v>603</v>
      </c>
      <c r="E68" t="s">
        <v>603</v>
      </c>
      <c r="F68" t="s">
        <v>638</v>
      </c>
    </row>
    <row r="69" spans="1:6" x14ac:dyDescent="0.3">
      <c r="A69" t="s">
        <v>483</v>
      </c>
      <c r="B69" t="s">
        <v>638</v>
      </c>
      <c r="C69" t="s">
        <v>609</v>
      </c>
      <c r="D69" t="s">
        <v>603</v>
      </c>
      <c r="E69" t="s">
        <v>603</v>
      </c>
      <c r="F69" t="s">
        <v>638</v>
      </c>
    </row>
    <row r="70" spans="1:6" x14ac:dyDescent="0.3">
      <c r="A70" t="s">
        <v>481</v>
      </c>
      <c r="B70" t="s">
        <v>603</v>
      </c>
      <c r="C70" t="s">
        <v>609</v>
      </c>
      <c r="D70" t="s">
        <v>603</v>
      </c>
      <c r="E70" t="s">
        <v>603</v>
      </c>
      <c r="F70" t="s">
        <v>603</v>
      </c>
    </row>
    <row r="71" spans="1:6" x14ac:dyDescent="0.3">
      <c r="A71" t="s">
        <v>482</v>
      </c>
      <c r="B71" t="s">
        <v>638</v>
      </c>
      <c r="C71" t="s">
        <v>638</v>
      </c>
      <c r="D71" t="s">
        <v>603</v>
      </c>
      <c r="E71" t="s">
        <v>603</v>
      </c>
      <c r="F71" t="s">
        <v>638</v>
      </c>
    </row>
    <row r="72" spans="1:6" x14ac:dyDescent="0.3">
      <c r="A72" t="s">
        <v>480</v>
      </c>
      <c r="B72" t="s">
        <v>603</v>
      </c>
      <c r="C72" t="s">
        <v>609</v>
      </c>
      <c r="D72" t="s">
        <v>603</v>
      </c>
      <c r="E72" t="s">
        <v>603</v>
      </c>
      <c r="F72" t="s">
        <v>603</v>
      </c>
    </row>
    <row r="73" spans="1:6" x14ac:dyDescent="0.3">
      <c r="A73" t="s">
        <v>455</v>
      </c>
      <c r="B73" t="s">
        <v>603</v>
      </c>
      <c r="C73" t="s">
        <v>609</v>
      </c>
      <c r="D73" t="s">
        <v>638</v>
      </c>
      <c r="E73" t="s">
        <v>638</v>
      </c>
      <c r="F73" t="s">
        <v>638</v>
      </c>
    </row>
    <row r="74" spans="1:6" x14ac:dyDescent="0.3">
      <c r="A74" t="s">
        <v>452</v>
      </c>
      <c r="B74" t="s">
        <v>603</v>
      </c>
      <c r="C74" t="s">
        <v>638</v>
      </c>
      <c r="D74" t="s">
        <v>638</v>
      </c>
      <c r="E74" t="s">
        <v>638</v>
      </c>
      <c r="F74" t="s">
        <v>909</v>
      </c>
    </row>
    <row r="75" spans="1:6" x14ac:dyDescent="0.3">
      <c r="A75" t="s">
        <v>451</v>
      </c>
      <c r="B75" t="s">
        <v>638</v>
      </c>
      <c r="C75" t="s">
        <v>638</v>
      </c>
      <c r="D75" t="s">
        <v>638</v>
      </c>
      <c r="E75" t="s">
        <v>638</v>
      </c>
      <c r="F75" t="s">
        <v>638</v>
      </c>
    </row>
    <row r="78" spans="1:6" x14ac:dyDescent="0.3">
      <c r="A78" s="53" t="s">
        <v>910</v>
      </c>
    </row>
    <row r="80" spans="1:6" x14ac:dyDescent="0.3">
      <c r="A80" s="53" t="s">
        <v>735</v>
      </c>
      <c r="B80" s="53" t="s">
        <v>911</v>
      </c>
      <c r="C80" s="53" t="s">
        <v>912</v>
      </c>
    </row>
    <row r="81" spans="1:3" x14ac:dyDescent="0.3">
      <c r="A81" t="s">
        <v>462</v>
      </c>
      <c r="B81" t="s">
        <v>913</v>
      </c>
      <c r="C81" t="s">
        <v>914</v>
      </c>
    </row>
    <row r="82" spans="1:3" x14ac:dyDescent="0.3">
      <c r="A82" t="s">
        <v>474</v>
      </c>
      <c r="B82" t="s">
        <v>913</v>
      </c>
      <c r="C82" t="s">
        <v>915</v>
      </c>
    </row>
    <row r="83" spans="1:3" x14ac:dyDescent="0.3">
      <c r="A83" t="s">
        <v>481</v>
      </c>
      <c r="B83" t="s">
        <v>913</v>
      </c>
      <c r="C83" t="s">
        <v>916</v>
      </c>
    </row>
    <row r="84" spans="1:3" x14ac:dyDescent="0.3">
      <c r="A84" t="s">
        <v>485</v>
      </c>
      <c r="B84" t="s">
        <v>917</v>
      </c>
      <c r="C84" t="s">
        <v>918</v>
      </c>
    </row>
    <row r="85" spans="1:3" x14ac:dyDescent="0.3">
      <c r="A85" t="s">
        <v>483</v>
      </c>
      <c r="B85" t="s">
        <v>917</v>
      </c>
      <c r="C85" t="s">
        <v>919</v>
      </c>
    </row>
    <row r="86" spans="1:3" x14ac:dyDescent="0.3">
      <c r="A86" t="s">
        <v>482</v>
      </c>
      <c r="B86" t="s">
        <v>917</v>
      </c>
      <c r="C86" t="s">
        <v>920</v>
      </c>
    </row>
    <row r="87" spans="1:3" x14ac:dyDescent="0.3">
      <c r="A87" t="s">
        <v>480</v>
      </c>
      <c r="B87" t="s">
        <v>917</v>
      </c>
      <c r="C87" t="s">
        <v>921</v>
      </c>
    </row>
    <row r="88" spans="1:3" x14ac:dyDescent="0.3">
      <c r="A88" t="s">
        <v>455</v>
      </c>
      <c r="B88" t="s">
        <v>922</v>
      </c>
      <c r="C88" t="s">
        <v>923</v>
      </c>
    </row>
    <row r="89" spans="1:3" x14ac:dyDescent="0.3">
      <c r="A89" t="s">
        <v>452</v>
      </c>
      <c r="B89" t="s">
        <v>922</v>
      </c>
      <c r="C89" t="s">
        <v>924</v>
      </c>
    </row>
    <row r="90" spans="1:3" x14ac:dyDescent="0.3">
      <c r="A90" t="s">
        <v>451</v>
      </c>
      <c r="B90" t="s">
        <v>922</v>
      </c>
      <c r="C90" t="s">
        <v>925</v>
      </c>
    </row>
  </sheetData>
  <conditionalFormatting sqref="N1:N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Utilities Sector – Overview</vt:lpstr>
      <vt:lpstr>Industry Overview</vt:lpstr>
      <vt:lpstr>Excluded Companies</vt:lpstr>
      <vt:lpstr>Raw Data</vt:lpstr>
      <vt:lpstr>Ratios</vt:lpstr>
      <vt:lpstr>Selecting on the basis of Ratio</vt:lpstr>
      <vt:lpstr>Sector details–Investor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Thakur</dc:creator>
  <cp:lastModifiedBy>Suraj Thakur</cp:lastModifiedBy>
  <dcterms:created xsi:type="dcterms:W3CDTF">2025-12-08T09:39:18Z</dcterms:created>
  <dcterms:modified xsi:type="dcterms:W3CDTF">2025-12-22T07:20:28Z</dcterms:modified>
</cp:coreProperties>
</file>